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sktop\Documents\Decode labs\Week4\"/>
    </mc:Choice>
  </mc:AlternateContent>
  <xr:revisionPtr revIDLastSave="0" documentId="13_ncr:1_{6F819500-F8CE-4625-974F-BA482CCE42CE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ivot Table" sheetId="3" r:id="rId1"/>
    <sheet name="Dashboard" sheetId="4" r:id="rId2"/>
    <sheet name="Sheet1" sheetId="1" r:id="rId3"/>
    <sheet name="Count, mean and median" sheetId="2" r:id="rId4"/>
  </sheets>
  <definedNames>
    <definedName name="_xlnm._FilterDatabase" localSheetId="2" hidden="1">Sheet1!$A$1:$N$1201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D26" i="3"/>
  <c r="C27" i="3"/>
  <c r="D27" i="3"/>
  <c r="C28" i="3"/>
  <c r="D28" i="3"/>
  <c r="C29" i="3"/>
  <c r="D29" i="3"/>
  <c r="C30" i="3"/>
  <c r="D30" i="3"/>
  <c r="D25" i="3"/>
  <c r="C25" i="3"/>
  <c r="L5" i="2"/>
  <c r="H5" i="2"/>
  <c r="G5" i="2"/>
  <c r="E4" i="2"/>
  <c r="C2" i="2"/>
  <c r="K1207" i="1"/>
  <c r="F4" i="2" s="1"/>
  <c r="K1206" i="1"/>
  <c r="K1205" i="1"/>
  <c r="B4" i="2" s="1"/>
  <c r="K1204" i="1"/>
  <c r="D4" i="2" s="1"/>
  <c r="K1203" i="1"/>
  <c r="C4" i="2" s="1"/>
  <c r="E1203" i="1"/>
  <c r="N1207" i="1"/>
  <c r="F5" i="2" s="1"/>
  <c r="N1206" i="1"/>
  <c r="E5" i="2" s="1"/>
  <c r="N1205" i="1"/>
  <c r="B5" i="2" s="1"/>
  <c r="N1204" i="1"/>
  <c r="D5" i="2" s="1"/>
  <c r="N1203" i="1"/>
  <c r="C5" i="2" s="1"/>
  <c r="F1207" i="1"/>
  <c r="F3" i="2" s="1"/>
  <c r="F1206" i="1"/>
  <c r="E3" i="2" s="1"/>
  <c r="F1205" i="1"/>
  <c r="B3" i="2" s="1"/>
  <c r="F1204" i="1"/>
  <c r="D3" i="2" s="1"/>
  <c r="F1203" i="1"/>
  <c r="C3" i="2" s="1"/>
  <c r="E1207" i="1"/>
  <c r="F2" i="2" s="1"/>
  <c r="E1206" i="1"/>
  <c r="E2" i="2" s="1"/>
  <c r="E1205" i="1"/>
  <c r="B2" i="2" s="1"/>
  <c r="E1204" i="1"/>
  <c r="D2" i="2" s="1"/>
  <c r="D17" i="3"/>
  <c r="D13" i="3"/>
  <c r="D9" i="3"/>
  <c r="D5" i="3"/>
  <c r="D22" i="3"/>
  <c r="I5" i="2" l="1"/>
  <c r="K5" i="2" s="1"/>
  <c r="J5" i="2" l="1"/>
</calcChain>
</file>

<file path=xl/sharedStrings.xml><?xml version="1.0" encoding="utf-8"?>
<sst xmlns="http://schemas.openxmlformats.org/spreadsheetml/2006/main" count="10929" uniqueCount="4333">
  <si>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</si>
  <si>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</si>
  <si>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</si>
  <si>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</si>
  <si>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</si>
  <si>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</si>
  <si>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</si>
  <si>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</si>
  <si>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</si>
  <si>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</si>
  <si>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</si>
  <si>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</si>
  <si>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</si>
  <si>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</si>
  <si>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</si>
  <si>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</si>
  <si>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</si>
  <si>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</si>
  <si>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</si>
  <si>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</si>
  <si>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</si>
  <si>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</si>
  <si>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</si>
  <si>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</si>
  <si>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</si>
  <si>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</si>
  <si>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</si>
  <si>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</si>
  <si>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</si>
  <si>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</si>
  <si>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</si>
  <si>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</si>
  <si>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</si>
  <si>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</si>
  <si>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</si>
  <si>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</si>
  <si>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</si>
  <si>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</si>
  <si>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</si>
  <si>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</si>
  <si>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</si>
  <si>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</si>
  <si>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</si>
  <si>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</si>
  <si>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</si>
  <si>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</si>
  <si>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</si>
  <si>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</si>
  <si>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</si>
  <si>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</si>
  <si>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</si>
  <si>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</si>
  <si>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</si>
  <si>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</si>
  <si>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</si>
  <si>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</si>
  <si>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</si>
  <si>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</si>
  <si>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</si>
  <si>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</si>
  <si>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</si>
  <si>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</si>
  <si>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</si>
  <si>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</si>
  <si>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</si>
  <si>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</si>
  <si>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</si>
  <si>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</si>
  <si>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</si>
  <si>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</si>
  <si>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</si>
  <si>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</si>
  <si>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</si>
  <si>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</si>
  <si>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</si>
  <si>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</si>
  <si>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</si>
  <si>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</si>
  <si>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</si>
  <si>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</si>
  <si>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</si>
  <si>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</si>
  <si>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</si>
  <si>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</si>
  <si>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</si>
  <si>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</si>
  <si>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</si>
  <si>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</si>
  <si>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</si>
  <si>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</si>
  <si>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</si>
  <si>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</si>
  <si>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</si>
  <si>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</si>
  <si>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</si>
  <si>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</si>
  <si>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</si>
  <si>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</si>
  <si>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</si>
  <si>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</si>
  <si>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</si>
  <si>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</si>
  <si>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</si>
  <si>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</si>
  <si>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</si>
  <si>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</si>
  <si>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</si>
  <si>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</si>
  <si>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</si>
  <si>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</si>
  <si>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</si>
  <si>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</si>
  <si>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</si>
  <si>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</si>
  <si>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</si>
  <si>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</si>
  <si>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</si>
  <si>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</si>
  <si>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</si>
  <si>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</si>
  <si>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</si>
  <si>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</si>
  <si>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</si>
  <si>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</si>
  <si>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</si>
  <si>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</si>
  <si>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</si>
  <si>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</si>
  <si>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</si>
  <si>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</si>
  <si>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</si>
  <si>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</si>
  <si>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</si>
  <si>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</si>
  <si>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</si>
  <si>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</si>
  <si>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</si>
  <si>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</si>
  <si>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</si>
  <si>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</si>
  <si>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</si>
  <si>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</si>
  <si>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</si>
  <si>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</si>
  <si>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</si>
  <si>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</si>
  <si>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</si>
  <si>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</si>
  <si>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</si>
  <si>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</si>
  <si>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</si>
  <si>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</si>
  <si>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</si>
  <si>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</si>
  <si>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</si>
  <si>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</si>
  <si>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</si>
  <si>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</si>
  <si>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</si>
  <si>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</si>
  <si>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</si>
  <si>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</si>
  <si>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</si>
  <si>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</si>
  <si>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</si>
  <si>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</si>
  <si>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</si>
  <si>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</si>
  <si>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</si>
  <si>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</si>
  <si>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</si>
  <si>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</si>
  <si>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</si>
  <si>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</si>
  <si>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</si>
  <si>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</si>
  <si>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</si>
  <si>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</si>
  <si>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</si>
  <si>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</si>
  <si>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</si>
  <si>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</si>
  <si>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</si>
  <si>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</si>
  <si>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</si>
  <si>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</si>
  <si>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</si>
  <si>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</si>
  <si>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</si>
  <si>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</si>
  <si>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</si>
  <si>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</si>
  <si>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</si>
  <si>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</si>
  <si>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</si>
  <si>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</si>
  <si>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</si>
  <si>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</si>
  <si>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</si>
  <si>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</si>
  <si>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</si>
  <si>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</si>
  <si>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</si>
  <si>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</si>
  <si>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</si>
  <si>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</si>
  <si>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</si>
  <si>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</si>
  <si>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</si>
  <si>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</si>
  <si>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</si>
  <si>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</si>
  <si>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</si>
  <si>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</si>
  <si>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</si>
  <si>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</si>
  <si>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</si>
  <si>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</si>
  <si>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</si>
  <si>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</si>
  <si>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</si>
  <si>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</si>
  <si>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</si>
  <si>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</si>
  <si>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</si>
  <si>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</si>
  <si>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</si>
  <si>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</si>
  <si>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</si>
  <si>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</si>
  <si>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</si>
  <si>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</si>
  <si>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</si>
  <si>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</si>
  <si>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</si>
  <si>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</si>
  <si>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</si>
  <si>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</si>
  <si>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</si>
  <si>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</si>
  <si>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</si>
  <si>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</si>
  <si>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</si>
  <si>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</si>
  <si>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</si>
  <si>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</si>
  <si>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</si>
  <si>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</si>
  <si>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</si>
  <si>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</si>
  <si>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</si>
  <si>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</si>
  <si>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</si>
  <si>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</si>
  <si>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</si>
  <si>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</si>
  <si>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</si>
  <si>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</si>
  <si>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</si>
  <si>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</si>
  <si>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</si>
  <si>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</si>
  <si>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</si>
  <si>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</si>
  <si>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</si>
  <si>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</si>
  <si>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</si>
  <si>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</si>
  <si>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</si>
  <si>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</si>
  <si>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</si>
  <si>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</si>
  <si>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</si>
  <si>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</si>
  <si>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</si>
  <si>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</si>
  <si>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</si>
  <si>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</si>
  <si>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</si>
  <si>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</si>
  <si>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</si>
  <si>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</si>
  <si>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</si>
  <si>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</si>
  <si>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</si>
  <si>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</si>
  <si>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</si>
  <si>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</si>
  <si>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</si>
  <si>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</si>
  <si>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</si>
  <si>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</si>
  <si>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</si>
  <si>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</si>
  <si>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</si>
  <si>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</si>
  <si>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</si>
  <si>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</si>
  <si>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</si>
  <si>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</si>
  <si>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</si>
  <si>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</si>
  <si>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</si>
  <si>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</si>
  <si>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</si>
  <si>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</si>
  <si>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</si>
  <si>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</si>
  <si>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</si>
  <si>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</si>
  <si>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</si>
  <si>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</si>
  <si>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</si>
  <si>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</si>
  <si>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</si>
  <si>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</si>
  <si>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</si>
  <si>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</si>
  <si>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</si>
  <si>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</si>
  <si>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</si>
  <si>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</si>
  <si>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</si>
  <si>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</si>
  <si>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</si>
  <si>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</si>
  <si>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</si>
  <si>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</si>
  <si>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</si>
  <si>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</si>
  <si>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</si>
  <si>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</si>
  <si>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</si>
  <si>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</si>
  <si>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</si>
  <si>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</si>
  <si>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</si>
  <si>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</si>
  <si>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</si>
  <si>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</si>
  <si>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</si>
  <si>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</si>
  <si>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</si>
  <si>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</si>
  <si>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</si>
  <si>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</si>
  <si>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</si>
  <si>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</si>
  <si>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</si>
  <si>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</si>
  <si>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</si>
  <si>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</si>
  <si>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</si>
  <si>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</si>
  <si>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</si>
  <si>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</si>
  <si>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</si>
  <si>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</si>
  <si>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</si>
  <si>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</si>
  <si>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</si>
  <si>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</si>
  <si>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</si>
  <si>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</si>
  <si>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</si>
  <si>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</si>
  <si>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</si>
  <si>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</si>
  <si>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</si>
  <si>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</si>
  <si>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</si>
  <si>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</si>
  <si>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</si>
  <si>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</si>
  <si>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</si>
  <si>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</si>
  <si>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</si>
  <si>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</si>
  <si>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</si>
  <si>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</si>
  <si>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</si>
  <si>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</si>
  <si>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</si>
  <si>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</si>
  <si>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</si>
  <si>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</si>
  <si>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</si>
  <si>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</si>
  <si>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</si>
  <si>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</si>
  <si>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</si>
  <si>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</si>
  <si>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</si>
  <si>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</si>
  <si>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</si>
  <si>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</si>
  <si>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</si>
  <si>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</si>
  <si>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</si>
  <si>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</si>
  <si>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</si>
  <si>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</si>
  <si>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</si>
  <si>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</si>
  <si>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</si>
  <si>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</si>
  <si>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</si>
  <si>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</si>
  <si>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</si>
  <si>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</si>
  <si>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</si>
  <si>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</si>
  <si>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</si>
  <si>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</si>
  <si>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</si>
  <si>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</si>
  <si>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</si>
  <si>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</si>
  <si>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</si>
  <si>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</si>
  <si>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</si>
  <si>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</si>
  <si>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</si>
  <si>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</si>
  <si>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</si>
  <si>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</si>
  <si>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</si>
  <si>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</si>
  <si>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</si>
  <si>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</si>
  <si>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</si>
  <si>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</si>
  <si>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</si>
  <si>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</si>
  <si>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</si>
  <si>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</si>
  <si>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</si>
  <si>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</si>
  <si>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</si>
  <si>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</si>
  <si>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</si>
  <si>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</si>
  <si>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</si>
  <si>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</si>
  <si>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</si>
  <si>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</si>
  <si>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</si>
  <si>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</si>
  <si>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</si>
  <si>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</si>
  <si>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</si>
  <si>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</si>
  <si>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</si>
  <si>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</si>
  <si>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</si>
  <si>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</si>
  <si>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</si>
  <si>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</si>
  <si>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</si>
  <si>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</si>
  <si>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</si>
  <si>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</si>
  <si>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</si>
  <si>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</si>
  <si>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</si>
  <si>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</si>
  <si>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</si>
  <si>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</si>
  <si>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</si>
  <si>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</si>
  <si>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</si>
  <si>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</si>
  <si>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</si>
  <si>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</si>
  <si>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</si>
  <si>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</si>
  <si>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</si>
  <si>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</si>
  <si>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</si>
  <si>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</si>
  <si>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</si>
  <si>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</si>
  <si>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</si>
  <si>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</si>
  <si>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</si>
  <si>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</si>
  <si>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</si>
  <si>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</si>
  <si>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</si>
  <si>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</si>
  <si>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</si>
  <si>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</si>
  <si>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</si>
  <si>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</si>
  <si>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</si>
  <si>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</si>
  <si>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</si>
  <si>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</si>
  <si>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</si>
  <si>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</si>
  <si>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</si>
  <si>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</si>
  <si>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</si>
  <si>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</si>
  <si>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</si>
  <si>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</si>
  <si>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</si>
  <si>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</si>
  <si>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</si>
  <si>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</si>
  <si>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</si>
  <si>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</si>
  <si>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</si>
  <si>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</si>
  <si>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</si>
  <si>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</si>
  <si>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</si>
  <si>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</si>
  <si>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</si>
  <si>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</si>
  <si>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</si>
  <si>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</si>
  <si>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</si>
  <si>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</si>
  <si>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</si>
  <si>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</si>
  <si>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</si>
  <si>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</si>
  <si>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</si>
  <si>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</si>
  <si>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</si>
  <si>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</si>
  <si>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</si>
  <si>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</si>
  <si>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</si>
  <si>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</si>
  <si>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</si>
  <si>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</si>
  <si>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</si>
  <si>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</si>
  <si>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</si>
  <si>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</si>
  <si>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</si>
  <si>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</si>
  <si>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</si>
  <si>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</si>
  <si>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</si>
  <si>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</si>
  <si>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</si>
  <si>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</si>
  <si>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</si>
  <si>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</si>
  <si>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</si>
  <si>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</si>
  <si>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</si>
  <si>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</si>
  <si>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</si>
  <si>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</si>
  <si>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</si>
  <si>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</si>
  <si>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</si>
  <si>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</si>
  <si>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</si>
  <si>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</si>
  <si>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</si>
  <si>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</si>
  <si>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</si>
  <si>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</si>
  <si>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</si>
  <si>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</si>
  <si>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</si>
  <si>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</si>
  <si>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</si>
  <si>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</si>
  <si>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</si>
  <si>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</si>
  <si>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</si>
  <si>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</si>
  <si>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</si>
  <si>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</si>
  <si>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</si>
  <si>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</si>
  <si>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</si>
  <si>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</si>
  <si>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</si>
  <si>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</si>
  <si>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</si>
  <si>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</si>
  <si>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</si>
  <si>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</si>
  <si>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</si>
  <si>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</si>
  <si>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</si>
  <si>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</si>
  <si>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</si>
  <si>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</si>
  <si>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</si>
  <si>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</si>
  <si>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</si>
  <si>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</si>
  <si>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</si>
  <si>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</si>
  <si>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</si>
  <si>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</si>
  <si>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</si>
  <si>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</si>
  <si>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</si>
  <si>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</si>
  <si>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</si>
  <si>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</si>
  <si>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</si>
  <si>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</si>
  <si>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</si>
  <si>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</si>
  <si>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</si>
  <si>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</si>
  <si>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</si>
  <si>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</si>
  <si>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</si>
  <si>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</si>
  <si>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</si>
  <si>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</si>
  <si>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</si>
  <si>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</si>
  <si>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</si>
  <si>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</si>
  <si>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</si>
  <si>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</si>
  <si>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</si>
  <si>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</si>
  <si>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</si>
  <si>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</si>
  <si>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</si>
  <si>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</si>
  <si>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</si>
  <si>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</si>
  <si>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</si>
  <si>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</si>
  <si>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</si>
  <si>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</si>
  <si>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</si>
  <si>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</si>
  <si>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</si>
  <si>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</si>
  <si>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</si>
  <si>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</si>
  <si>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</si>
  <si>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</si>
  <si>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</si>
  <si>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</si>
  <si>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</si>
  <si>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</si>
  <si>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</si>
  <si>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</si>
  <si>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</si>
  <si>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</si>
  <si>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</si>
  <si>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</si>
  <si>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</si>
  <si>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</si>
  <si>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</si>
  <si>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</si>
  <si>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</si>
  <si>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</si>
  <si>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</si>
  <si>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</si>
  <si>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</si>
  <si>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</si>
  <si>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</si>
  <si>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</si>
  <si>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</si>
  <si>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</si>
  <si>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</si>
  <si>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</si>
  <si>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</si>
  <si>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</si>
  <si>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</si>
  <si>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</si>
  <si>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</si>
  <si>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</si>
  <si>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</si>
  <si>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</si>
  <si>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</si>
  <si>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</si>
  <si>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</si>
  <si>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</si>
  <si>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</si>
  <si>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</si>
  <si>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</si>
  <si>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</si>
  <si>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</si>
  <si>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</si>
  <si>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</si>
  <si>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</si>
  <si>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</si>
  <si>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</si>
  <si>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</si>
  <si>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</si>
  <si>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</si>
  <si>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</si>
  <si>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</si>
  <si>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</si>
  <si>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</si>
  <si>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</si>
  <si>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</si>
  <si>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</si>
  <si>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</si>
  <si>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</si>
  <si>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</si>
  <si>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</si>
  <si>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</si>
  <si>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</si>
  <si>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</si>
  <si>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</si>
  <si>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</si>
  <si>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</si>
  <si>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</si>
  <si>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</si>
  <si>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</si>
  <si>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</si>
  <si>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</si>
  <si>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</si>
  <si>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</si>
  <si>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</si>
  <si>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</si>
  <si>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</si>
  <si>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</si>
  <si>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</si>
  <si>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</si>
  <si>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</si>
  <si>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</si>
  <si>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</si>
  <si>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</si>
  <si>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</si>
  <si>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</si>
  <si>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</si>
  <si>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</si>
  <si>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</si>
  <si>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</si>
  <si>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</si>
  <si>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</si>
  <si>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</si>
  <si>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</si>
  <si>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</si>
  <si>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</si>
  <si>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</si>
  <si>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</si>
  <si>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</si>
  <si>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</si>
  <si>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</si>
  <si>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</si>
  <si>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</si>
  <si>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</si>
  <si>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</si>
  <si>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</si>
  <si>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</si>
  <si>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</si>
  <si>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</si>
  <si>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</si>
  <si>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</si>
  <si>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</si>
  <si>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</si>
  <si>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</si>
  <si>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</si>
  <si>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</si>
  <si>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</si>
  <si>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</si>
  <si>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</si>
  <si>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</si>
  <si>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</si>
  <si>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</si>
  <si>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</si>
  <si>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</si>
  <si>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</si>
  <si>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</si>
  <si>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</si>
  <si>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</si>
  <si>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</si>
  <si>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</si>
  <si>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</si>
  <si>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</si>
  <si>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</si>
  <si>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</si>
  <si>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</si>
  <si>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</si>
  <si>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</si>
  <si>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</si>
  <si>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</si>
  <si>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</si>
  <si>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</si>
  <si>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</si>
  <si>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</si>
  <si>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</si>
  <si>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</si>
  <si>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</si>
  <si>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</si>
  <si>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</si>
  <si>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</si>
  <si>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</si>
  <si>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</si>
  <si>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</si>
  <si>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</si>
  <si>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</si>
  <si>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</si>
  <si>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</si>
  <si>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</si>
  <si>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</si>
  <si>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</si>
  <si>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</si>
  <si>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</si>
  <si>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</si>
  <si>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</si>
  <si>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</si>
  <si>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</si>
  <si>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</si>
  <si>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</si>
  <si>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</si>
  <si>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</si>
  <si>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</si>
  <si>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</si>
  <si>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</si>
  <si>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</si>
  <si>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</si>
  <si>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</si>
  <si>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</si>
  <si>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</si>
  <si>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</si>
  <si>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</si>
  <si>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</si>
  <si>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</si>
  <si>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</si>
  <si>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</si>
  <si>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</si>
  <si>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</si>
  <si>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</si>
  <si>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</si>
  <si>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</si>
  <si>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</si>
  <si>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</si>
  <si>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</si>
  <si>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</si>
  <si>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</si>
  <si>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</si>
  <si>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</si>
  <si>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</si>
  <si>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</si>
  <si>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</si>
  <si>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</si>
  <si>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</si>
  <si>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</si>
  <si>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</si>
  <si>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</si>
  <si>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</si>
  <si>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</si>
  <si>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</si>
  <si>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</si>
  <si>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</si>
  <si>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</si>
  <si>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</si>
  <si>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</si>
  <si>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</si>
  <si>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</si>
  <si>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</si>
  <si>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</si>
  <si>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</si>
  <si>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</si>
  <si>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</si>
  <si>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</si>
  <si>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</si>
  <si>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</si>
  <si>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</si>
  <si>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</si>
  <si>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</si>
  <si>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</si>
  <si>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</si>
  <si>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</si>
  <si>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</si>
  <si>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</si>
  <si>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</si>
  <si>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</si>
  <si>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</si>
  <si>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</si>
  <si>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</si>
  <si>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</si>
  <si>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</si>
  <si>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</si>
  <si>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</si>
  <si>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</si>
  <si>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</si>
  <si>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</si>
  <si>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</si>
  <si>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</si>
  <si>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</si>
  <si>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</si>
  <si>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</si>
  <si>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</si>
  <si>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</si>
  <si>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</si>
  <si>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</si>
  <si>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</si>
  <si>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</si>
  <si>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</si>
  <si>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</si>
  <si>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</si>
  <si>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</si>
  <si>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</si>
  <si>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</si>
  <si>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</si>
  <si>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</si>
  <si>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</si>
  <si>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</si>
  <si>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</si>
  <si>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</si>
  <si>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</si>
  <si>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</si>
  <si>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</si>
  <si>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</si>
  <si>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</si>
  <si>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</si>
  <si>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</si>
  <si>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</si>
  <si>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</si>
  <si>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</si>
  <si>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</si>
  <si>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</si>
  <si>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</si>
  <si>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</si>
  <si>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</si>
  <si>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</si>
  <si>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</si>
  <si>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</si>
  <si>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</si>
  <si>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</si>
  <si>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</si>
  <si>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</si>
  <si>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</si>
  <si>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</si>
  <si>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</si>
  <si>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</si>
  <si>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</si>
  <si>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</si>
  <si>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</si>
  <si>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</si>
  <si>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</si>
  <si>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</si>
  <si>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</si>
  <si>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</si>
  <si>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</si>
  <si>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</si>
  <si>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</si>
  <si>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</si>
  <si>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</si>
  <si>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</si>
  <si>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</si>
  <si>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</si>
  <si>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</si>
  <si>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</si>
  <si>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</si>
  <si>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</si>
  <si>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</si>
  <si>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</si>
  <si>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</si>
  <si>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</si>
  <si>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</si>
  <si>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</si>
  <si>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</si>
  <si>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</si>
  <si>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</si>
  <si>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</si>
  <si>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</si>
  <si>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</si>
  <si>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</si>
  <si>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</si>
  <si>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</si>
  <si>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</si>
  <si>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</si>
  <si>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</si>
  <si>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</si>
  <si>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</si>
  <si>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</si>
  <si>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</si>
  <si>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</si>
  <si>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</si>
  <si>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</si>
  <si>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</si>
  <si>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</si>
  <si>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</si>
  <si>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</si>
  <si>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</si>
  <si>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</si>
  <si>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</si>
  <si>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</si>
  <si>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</si>
  <si>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</si>
  <si>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</si>
  <si>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</si>
  <si>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</si>
  <si>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</si>
  <si>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</si>
  <si>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</si>
  <si>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</si>
  <si>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</si>
  <si>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</si>
  <si>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</si>
  <si>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</si>
  <si>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</si>
  <si>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</si>
  <si>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</si>
  <si>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</si>
  <si>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</si>
  <si>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</si>
  <si>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</si>
  <si>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</si>
  <si>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</si>
  <si>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</si>
  <si>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</si>
  <si>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</si>
  <si>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</si>
  <si>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</si>
  <si>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</si>
  <si>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</si>
  <si>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</si>
  <si>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</si>
  <si>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</si>
  <si>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</si>
  <si>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</si>
  <si>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</si>
  <si>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</si>
  <si>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</si>
  <si>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</si>
  <si>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</si>
  <si>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</si>
  <si>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</si>
  <si>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</si>
  <si>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</si>
  <si>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</si>
  <si>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</si>
  <si>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</si>
  <si>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</si>
  <si>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</si>
  <si>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</si>
  <si>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</si>
  <si>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</si>
  <si>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</si>
  <si>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</si>
  <si>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</si>
  <si>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</si>
  <si>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</si>
  <si>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</si>
  <si>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</si>
  <si>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</si>
  <si>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</si>
  <si>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</si>
  <si>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</si>
  <si>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</si>
  <si>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</si>
  <si>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</si>
  <si>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</si>
  <si>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</si>
  <si>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</si>
  <si>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</si>
  <si>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</si>
  <si>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</si>
  <si>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</si>
  <si>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</si>
  <si>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</si>
  <si>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</si>
  <si>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</si>
  <si>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</si>
  <si>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</si>
  <si>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</si>
  <si>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</si>
  <si>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</si>
  <si>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</si>
  <si>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</si>
  <si>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</si>
  <si>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</si>
  <si>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</si>
  <si>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</si>
  <si>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</si>
  <si>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</si>
  <si>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</si>
  <si>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</si>
  <si>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</si>
  <si>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</si>
  <si>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</si>
  <si>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</si>
  <si>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</si>
  <si>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</si>
  <si>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</si>
  <si>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</si>
  <si>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</si>
  <si>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</si>
  <si>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</si>
  <si>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</si>
  <si>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</si>
  <si>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</si>
  <si>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</si>
  <si>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</si>
  <si>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</si>
  <si>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</si>
  <si>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</si>
  <si>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</si>
  <si>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</si>
  <si>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</si>
  <si>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</si>
  <si>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</si>
  <si>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</si>
  <si>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</si>
  <si>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</si>
  <si>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</si>
  <si>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</si>
  <si>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</si>
  <si>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</si>
  <si>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</si>
  <si>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</si>
  <si>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</si>
  <si>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</si>
  <si>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</si>
  <si>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</si>
  <si>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</si>
  <si>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</si>
  <si>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</si>
  <si>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</si>
  <si>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</si>
  <si>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</si>
  <si>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</si>
  <si>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</si>
  <si>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</si>
  <si>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</si>
  <si>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</si>
  <si>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</si>
  <si>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</si>
  <si>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</si>
  <si>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</si>
  <si>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</si>
  <si>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</si>
  <si>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</si>
  <si>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</si>
  <si>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</si>
  <si>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</si>
  <si>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</si>
  <si>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</si>
  <si>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</si>
  <si>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</si>
  <si>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</si>
  <si>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</si>
  <si>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</si>
  <si>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</si>
  <si>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</si>
  <si>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</si>
  <si>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</si>
  <si>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</si>
  <si>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</si>
  <si>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</si>
  <si>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</si>
  <si>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</si>
  <si>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</si>
  <si>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</si>
  <si>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</si>
  <si>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</si>
  <si>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</si>
  <si>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</si>
  <si>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</si>
  <si>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</si>
  <si>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</si>
  <si>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</si>
  <si>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</si>
  <si>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</si>
  <si>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</si>
  <si>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</si>
  <si>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</si>
  <si>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</si>
  <si>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</si>
  <si>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</si>
  <si>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</si>
  <si>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</si>
  <si>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</si>
  <si>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</si>
  <si>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</si>
  <si>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</si>
  <si>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</si>
  <si>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</si>
  <si>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</si>
  <si>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</si>
  <si>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</si>
  <si>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</si>
  <si>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</si>
  <si>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</si>
  <si>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</si>
  <si>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</si>
  <si>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</si>
  <si>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</si>
  <si>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</si>
  <si>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</si>
  <si>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</si>
  <si>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</si>
  <si>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</si>
  <si>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</si>
  <si>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</si>
  <si>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</si>
  <si>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</si>
  <si>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</si>
  <si>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</si>
  <si>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</si>
  <si>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</si>
  <si>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</si>
  <si>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</si>
  <si>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</si>
  <si>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</si>
  <si>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</si>
  <si>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</si>
  <si>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</si>
  <si>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</si>
  <si>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</si>
  <si>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</si>
  <si>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</si>
  <si>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</si>
  <si>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</si>
  <si>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</si>
  <si>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</si>
  <si>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</si>
  <si>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</si>
  <si>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</si>
  <si>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</si>
  <si>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</si>
  <si>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</si>
  <si>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</si>
  <si>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</si>
  <si>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</si>
  <si>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</si>
  <si>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</si>
  <si>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</si>
  <si>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</si>
  <si>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</si>
  <si>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</si>
  <si>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</si>
  <si>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</si>
  <si>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</si>
  <si>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</si>
  <si>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</si>
  <si>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</si>
  <si>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</si>
  <si>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</si>
  <si>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</si>
  <si>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</si>
  <si>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</si>
  <si>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</si>
  <si>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</si>
  <si>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</si>
  <si>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</si>
  <si>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</si>
  <si>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</si>
  <si>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</si>
  <si>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</si>
  <si>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</si>
  <si>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</si>
  <si>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</si>
  <si>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</si>
  <si>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</si>
  <si>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</si>
  <si>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</si>
  <si>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</si>
  <si>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</si>
  <si>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</si>
  <si>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</si>
  <si>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</si>
  <si>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</si>
  <si>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</si>
  <si>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</si>
  <si>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</si>
  <si>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</si>
  <si>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</si>
  <si>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</si>
  <si>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</si>
  <si>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</si>
  <si>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</si>
  <si>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</si>
  <si>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</si>
  <si>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</si>
  <si>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</si>
  <si>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</si>
  <si>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</si>
  <si>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</si>
  <si>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</si>
  <si>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</si>
  <si>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</si>
  <si>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</si>
  <si>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</si>
  <si>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</si>
  <si>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</si>
  <si>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</si>
  <si>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</si>
  <si>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</si>
  <si>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</si>
  <si>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</si>
  <si>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</si>
  <si>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</si>
  <si>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</si>
  <si>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</si>
  <si>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</si>
  <si>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</si>
  <si>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</si>
  <si>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</si>
  <si>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</si>
  <si>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</si>
  <si>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</si>
  <si>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</si>
  <si>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</si>
  <si>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</si>
  <si>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</si>
  <si>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</si>
  <si>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</si>
  <si>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</si>
  <si>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</si>
  <si>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</si>
  <si>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</si>
  <si>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</si>
  <si>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</si>
  <si>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</si>
  <si>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</si>
  <si>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</si>
  <si>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</si>
  <si>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</si>
  <si>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</si>
  <si>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</si>
  <si>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</si>
  <si>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</si>
  <si>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</si>
  <si>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</si>
  <si>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</si>
  <si>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</si>
  <si>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</si>
  <si>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</si>
  <si>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</si>
  <si>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</si>
  <si>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</si>
  <si>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</si>
  <si>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</si>
  <si>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</si>
  <si>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</si>
  <si>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</si>
  <si>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</si>
  <si>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</si>
  <si>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</si>
  <si>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</si>
  <si>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</si>
  <si>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</si>
  <si>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</si>
  <si>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</si>
  <si>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</si>
  <si>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</si>
  <si>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</si>
  <si>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</si>
  <si>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</si>
  <si>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</si>
  <si>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</si>
  <si>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</si>
  <si>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</si>
  <si>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</si>
  <si>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</si>
  <si>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</si>
  <si>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</si>
  <si>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</si>
  <si>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</si>
  <si>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</si>
  <si>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</si>
  <si>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</si>
  <si>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</si>
  <si>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</si>
  <si>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</si>
  <si>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</si>
  <si>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</si>
  <si>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</si>
  <si>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</si>
  <si>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</si>
  <si>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</si>
  <si>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</si>
  <si>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</si>
  <si>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</si>
  <si>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</si>
  <si>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</si>
  <si>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</si>
  <si>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</si>
  <si>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</si>
  <si>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</si>
  <si>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</si>
  <si>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</si>
  <si>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</si>
  <si>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</si>
  <si>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</si>
  <si>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</si>
  <si>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</si>
  <si>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</si>
  <si>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</si>
  <si>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</si>
  <si>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</si>
  <si>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</si>
  <si>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</si>
  <si>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</si>
  <si>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</si>
  <si>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</si>
  <si>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</si>
  <si>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</si>
  <si>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</si>
  <si>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</si>
  <si>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</si>
  <si>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</si>
  <si>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</si>
  <si>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</si>
  <si>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</si>
  <si>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</si>
  <si>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</si>
  <si>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</si>
  <si>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</si>
  <si>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</si>
  <si>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</si>
  <si>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</si>
  <si>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</si>
  <si>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</si>
  <si>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</si>
  <si>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</si>
  <si>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</si>
  <si>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</si>
  <si>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</si>
  <si>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</si>
  <si>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</si>
  <si>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</si>
  <si>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</si>
  <si>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</si>
  <si>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</si>
  <si>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</si>
  <si>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</si>
  <si>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</si>
  <si>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</si>
  <si>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</si>
  <si>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</si>
  <si>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</si>
  <si>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</si>
  <si>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</si>
  <si>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</si>
  <si>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</si>
  <si>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</si>
  <si>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</si>
  <si>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</si>
  <si>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</si>
  <si>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</si>
  <si>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</si>
  <si>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</si>
  <si>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</si>
  <si>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</si>
  <si>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</si>
  <si>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</si>
  <si>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</si>
  <si>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</si>
  <si>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</si>
  <si>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</si>
  <si>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</si>
  <si>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</si>
  <si>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</si>
  <si>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</si>
  <si>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</si>
  <si>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</si>
  <si>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</si>
  <si>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</si>
  <si>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</si>
  <si>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</si>
  <si>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</si>
  <si>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</si>
  <si>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</si>
  <si>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</si>
  <si>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</si>
  <si>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</si>
  <si>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</si>
  <si>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</si>
  <si>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</si>
  <si>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</si>
  <si>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</si>
  <si>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</si>
  <si>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</si>
  <si>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</si>
  <si>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</si>
  <si>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</si>
  <si>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</si>
  <si>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</si>
  <si>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</si>
  <si>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</si>
  <si>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</si>
  <si>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</si>
  <si>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</si>
  <si>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</si>
  <si>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</si>
  <si>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</si>
  <si>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</si>
  <si>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</si>
  <si>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</si>
  <si>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</si>
  <si>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</si>
  <si>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</si>
  <si>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</si>
  <si>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</si>
  <si>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</si>
  <si>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</si>
  <si>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</si>
  <si>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</si>
  <si>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</si>
  <si>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</si>
  <si>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</si>
  <si>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</si>
  <si>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</si>
  <si>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</si>
  <si>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</si>
  <si>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</si>
  <si>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</si>
  <si>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</si>
  <si>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</si>
  <si>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</si>
  <si>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</si>
  <si>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</si>
  <si>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</si>
  <si>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</si>
  <si>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</si>
  <si>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</si>
  <si>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</si>
  <si>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</si>
  <si>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</si>
  <si>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</si>
  <si>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</si>
  <si>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</si>
  <si>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</si>
  <si>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</si>
  <si>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</si>
  <si>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</si>
  <si>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</si>
  <si>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</si>
  <si>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</si>
  <si>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</si>
  <si>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</si>
  <si>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</si>
  <si>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</si>
  <si>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</si>
  <si>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</si>
  <si>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</si>
  <si>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</si>
  <si>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</si>
  <si>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</si>
  <si>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</si>
  <si>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</si>
  <si>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</si>
  <si>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</si>
  <si>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</si>
  <si>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</si>
  <si>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</si>
  <si>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</si>
  <si>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</si>
  <si>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</si>
  <si>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</si>
  <si>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</si>
  <si>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</si>
  <si>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</si>
  <si>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</si>
  <si>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</si>
  <si>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</si>
  <si>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</si>
  <si>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</si>
  <si>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</si>
  <si>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</si>
  <si>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</si>
  <si>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</si>
  <si>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</si>
  <si>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</si>
  <si>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</si>
  <si>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</si>
  <si>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</si>
  <si>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</si>
  <si>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</si>
  <si>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</si>
  <si>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</si>
  <si>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</si>
  <si>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</si>
  <si>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</si>
  <si>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</si>
  <si>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</si>
  <si>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</si>
  <si>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</si>
  <si>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</si>
  <si>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</si>
  <si>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</si>
  <si>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</si>
  <si>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</si>
  <si>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</si>
  <si>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</si>
  <si>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</si>
  <si>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</si>
  <si>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</si>
  <si>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</si>
  <si>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</si>
  <si>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</si>
  <si>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</si>
  <si>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</si>
  <si>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</si>
  <si>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</si>
  <si>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</si>
  <si>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</si>
  <si>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</si>
  <si>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</si>
  <si>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</si>
  <si>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</si>
  <si>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</si>
  <si>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</si>
  <si>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</si>
  <si>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</si>
  <si>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</si>
  <si>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</si>
  <si>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</si>
  <si>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</si>
  <si>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</si>
  <si>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</si>
  <si>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</si>
  <si>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</si>
  <si>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</si>
  <si>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</si>
  <si>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</si>
  <si>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</si>
  <si>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</si>
  <si>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</si>
  <si>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</si>
  <si>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</si>
  <si>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</si>
  <si>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</si>
  <si>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</si>
  <si>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</si>
  <si>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</si>
  <si>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</si>
  <si>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</si>
  <si>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</si>
  <si>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</si>
  <si>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</si>
  <si>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</si>
  <si>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</si>
  <si>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</si>
  <si>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</si>
  <si>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</si>
  <si>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</si>
  <si>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</si>
  <si>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</si>
  <si>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</si>
  <si>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</si>
  <si>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</si>
  <si>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</si>
  <si>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</si>
  <si>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</si>
  <si>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</si>
  <si>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</si>
  <si>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</si>
  <si>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</si>
  <si>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</si>
  <si>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</si>
  <si>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</si>
  <si>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</si>
  <si>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</si>
  <si>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</si>
  <si>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</si>
  <si>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</si>
  <si>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</si>
  <si>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</si>
  <si>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</si>
  <si>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</si>
  <si>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</si>
  <si>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</si>
  <si>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</si>
  <si>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</si>
  <si>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</si>
  <si>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</si>
  <si>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</si>
  <si>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</si>
  <si>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</si>
  <si>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</si>
  <si>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</si>
  <si>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</si>
  <si>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</si>
  <si>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</si>
  <si>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</si>
  <si>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</si>
  <si>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</si>
  <si>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</si>
  <si>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</si>
  <si>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</si>
  <si>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</si>
  <si>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</si>
  <si>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</si>
  <si>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</si>
  <si>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</si>
  <si>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</si>
  <si>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</si>
  <si>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</si>
  <si>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</si>
  <si>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</si>
  <si>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</si>
  <si>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</si>
  <si>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</si>
  <si>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</si>
  <si>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</si>
  <si>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</si>
  <si>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</si>
  <si>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</si>
  <si>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</si>
  <si>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</si>
  <si>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</si>
  <si>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</si>
  <si>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</si>
  <si>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</si>
  <si>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</si>
  <si>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</si>
  <si>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</si>
  <si>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</si>
  <si>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</si>
  <si>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</si>
  <si>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</si>
  <si>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</si>
  <si>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</si>
  <si>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</si>
  <si>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</si>
  <si>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</si>
  <si>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</si>
  <si>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</si>
  <si>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</si>
  <si>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</si>
  <si>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</si>
  <si>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</si>
  <si>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</si>
  <si>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</si>
  <si>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</si>
  <si>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</si>
  <si>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</si>
  <si>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</si>
  <si>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</si>
  <si>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</si>
  <si>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</si>
  <si>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</si>
  <si>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</si>
  <si>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</si>
  <si>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</si>
  <si>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</si>
  <si>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</si>
  <si>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</si>
  <si>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</si>
  <si>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</si>
  <si>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</si>
  <si>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</si>
  <si>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</si>
  <si>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</si>
  <si>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</si>
  <si>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</si>
  <si>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</si>
  <si>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</si>
  <si>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</si>
  <si>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</si>
  <si>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</si>
  <si>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</si>
  <si>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</si>
  <si>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</si>
  <si>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</si>
  <si>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</si>
  <si>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</si>
  <si>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</si>
  <si>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</si>
  <si>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</si>
  <si>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</si>
  <si>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</si>
  <si>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</si>
  <si>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</si>
  <si>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</si>
  <si>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</si>
  <si>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</si>
  <si>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</si>
  <si>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</si>
  <si>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</si>
  <si>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</si>
  <si>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</si>
  <si>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</si>
  <si>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</si>
  <si>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</si>
  <si>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</si>
  <si>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</si>
  <si>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</si>
  <si>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</si>
  <si>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</si>
  <si>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</si>
  <si>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</si>
  <si>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</si>
  <si>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</si>
  <si>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</si>
  <si>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</si>
  <si>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</si>
  <si>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</si>
  <si>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</si>
  <si>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</si>
  <si>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</si>
  <si>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</si>
  <si>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</si>
  <si>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</si>
  <si>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</si>
  <si>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</si>
  <si>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</si>
  <si>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</si>
  <si>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</si>
  <si>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</si>
  <si>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</si>
  <si>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</si>
  <si>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</si>
  <si>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</si>
  <si>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</si>
  <si>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</si>
  <si>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</si>
  <si>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</si>
  <si>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</si>
  <si>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</si>
  <si>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</si>
  <si>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</si>
  <si>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</si>
  <si>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</si>
  <si>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</si>
  <si>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</si>
  <si>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</si>
  <si>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</si>
  <si>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</si>
  <si>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</si>
  <si>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</si>
  <si>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</si>
  <si>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</si>
  <si>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</si>
  <si>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</si>
  <si>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</si>
  <si>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</si>
  <si>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</si>
  <si>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</si>
  <si>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</si>
  <si>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</si>
  <si>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</si>
  <si>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</si>
  <si>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</si>
  <si>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</si>
  <si>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</si>
  <si>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</si>
  <si>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</si>
  <si>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</si>
  <si>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</si>
  <si>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</si>
  <si>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</si>
  <si>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</si>
  <si>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</si>
  <si>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</si>
  <si>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</si>
  <si>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</si>
  <si>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</si>
  <si>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</si>
  <si>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</si>
  <si>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</si>
  <si>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</si>
  <si>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</si>
  <si>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</si>
  <si>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</si>
  <si>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</si>
  <si>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</si>
  <si>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</si>
  <si>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</si>
  <si>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</si>
  <si>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</si>
  <si>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</si>
  <si>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</si>
  <si>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</si>
  <si>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</si>
  <si>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</si>
  <si>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</si>
  <si>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</si>
  <si>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</si>
  <si>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</si>
  <si>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</si>
  <si>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</si>
  <si>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</si>
  <si>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</si>
  <si>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</si>
  <si>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</si>
  <si>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</si>
  <si>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</si>
  <si>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</si>
  <si>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</si>
  <si>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</si>
  <si>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</si>
  <si>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</si>
  <si>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</si>
  <si>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</si>
  <si>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</si>
  <si>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</si>
  <si>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</si>
  <si>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</si>
  <si>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</si>
  <si>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</si>
  <si>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</si>
  <si>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</si>
  <si>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</si>
  <si>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</si>
  <si>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</si>
  <si>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</si>
  <si>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</si>
  <si>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</si>
  <si>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</si>
  <si>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</si>
  <si>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</si>
  <si>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</si>
  <si>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</si>
  <si>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</si>
  <si>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</si>
  <si>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</si>
  <si>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</si>
  <si>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</si>
  <si>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</si>
  <si>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</si>
  <si>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</si>
  <si>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</si>
  <si>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</si>
  <si>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</si>
  <si>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</si>
  <si>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</si>
  <si>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</si>
  <si>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</si>
  <si>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</si>
  <si>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</si>
  <si>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</si>
  <si>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</si>
  <si>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</si>
  <si>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</si>
  <si>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</si>
  <si>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</si>
  <si>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</si>
  <si>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</si>
  <si>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</si>
  <si>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</si>
  <si>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</si>
  <si>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</si>
  <si>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</si>
  <si>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</si>
  <si>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</si>
  <si>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</si>
  <si>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</si>
  <si>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</si>
  <si>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</si>
  <si>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</si>
  <si>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</si>
  <si>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</si>
  <si>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</si>
  <si>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</si>
  <si>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</si>
  <si>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</si>
  <si>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</si>
  <si>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</si>
  <si>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</si>
  <si>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</si>
  <si>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</si>
  <si>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</si>
  <si>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</si>
  <si>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</si>
  <si>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</si>
  <si>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</si>
  <si>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</si>
  <si>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</si>
  <si>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</si>
  <si>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</si>
  <si>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</si>
  <si>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</si>
  <si>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</si>
  <si>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</si>
  <si>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</si>
  <si>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</si>
  <si>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</si>
  <si>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</si>
  <si>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</si>
  <si>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</si>
  <si>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</si>
  <si>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</si>
  <si>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</si>
  <si>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</si>
  <si>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</si>
  <si>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</si>
  <si>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</si>
  <si>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</si>
  <si>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</si>
  <si>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</si>
  <si>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</si>
  <si>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</si>
  <si>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</si>
  <si>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</si>
  <si>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</si>
  <si>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</si>
  <si>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</si>
  <si>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</si>
  <si>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</si>
  <si>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</si>
  <si>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</si>
  <si>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</si>
  <si>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</si>
  <si>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</si>
  <si>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</si>
  <si>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</si>
  <si>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</si>
  <si>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</si>
  <si>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</si>
  <si>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</si>
  <si>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</si>
  <si>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</si>
  <si>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</si>
  <si>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</si>
  <si>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</si>
  <si>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</si>
  <si>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</si>
  <si>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</si>
  <si>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</si>
  <si>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</si>
  <si>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</si>
  <si>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</si>
  <si>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</si>
  <si>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</si>
  <si>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</si>
  <si>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</si>
  <si>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</si>
  <si>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</si>
  <si>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</si>
  <si>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</si>
  <si>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</si>
  <si>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</si>
  <si>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</si>
  <si>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</si>
  <si>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</si>
  <si>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</si>
  <si>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</si>
  <si>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</si>
  <si>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</si>
  <si>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</si>
  <si>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</si>
  <si>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</si>
  <si>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</si>
  <si>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</si>
  <si>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</si>
  <si>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</si>
  <si>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</si>
  <si>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</si>
  <si>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</si>
  <si>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</si>
  <si>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</si>
  <si>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</si>
  <si>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</si>
  <si>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</si>
  <si>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</si>
  <si>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</si>
  <si>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</si>
  <si>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</si>
  <si>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</si>
  <si>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</si>
  <si>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</si>
  <si>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</si>
  <si>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</si>
  <si>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</si>
  <si>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</si>
  <si>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</si>
  <si>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</si>
  <si>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</si>
  <si>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</si>
  <si>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</si>
  <si>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</si>
  <si>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</si>
  <si>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</si>
  <si>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</si>
  <si>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</si>
  <si>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</si>
  <si>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</si>
  <si>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</si>
  <si>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</si>
  <si>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</si>
  <si>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</si>
  <si>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</si>
  <si>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</si>
  <si>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</si>
  <si>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</si>
  <si>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</si>
  <si>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</si>
  <si>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</si>
  <si>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</si>
  <si>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</si>
  <si>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</si>
  <si>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</si>
  <si>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</si>
  <si>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</si>
  <si>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</si>
  <si>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</si>
  <si>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</si>
  <si>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</si>
  <si>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</si>
  <si>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</si>
  <si>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</si>
  <si>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</si>
  <si>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</si>
  <si>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</si>
  <si>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</si>
  <si>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</si>
  <si>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</si>
  <si>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</si>
  <si>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</si>
  <si>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</si>
  <si>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</si>
  <si>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</si>
  <si>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</si>
  <si>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</si>
  <si>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</si>
  <si>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</si>
  <si>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</si>
  <si>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</si>
  <si>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</si>
  <si>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</si>
  <si>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</si>
  <si>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</si>
  <si>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</si>
  <si>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</si>
  <si>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</si>
  <si>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</si>
  <si>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</si>
  <si>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</si>
  <si>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</si>
  <si>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</si>
  <si>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</si>
  <si>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</si>
  <si>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</si>
  <si>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</si>
  <si>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</si>
  <si>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</si>
  <si>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</si>
  <si>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</si>
  <si>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</si>
  <si>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</si>
  <si>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</si>
  <si>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</si>
  <si>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</si>
  <si>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</si>
  <si>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</si>
  <si>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</si>
  <si>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</si>
  <si>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</si>
  <si>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</si>
  <si>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</si>
  <si>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</si>
  <si>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</si>
  <si>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</si>
  <si>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</si>
  <si>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</si>
  <si>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</si>
  <si>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</si>
  <si>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</si>
  <si>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</si>
  <si>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</si>
  <si>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</si>
  <si>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</si>
  <si>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</si>
  <si>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</si>
  <si>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</si>
  <si>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</si>
  <si>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</si>
  <si>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</si>
  <si>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</si>
  <si>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</si>
  <si>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</si>
  <si>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</si>
  <si>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</si>
  <si>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</si>
  <si>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</si>
  <si>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</si>
  <si>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</si>
  <si>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</si>
  <si>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</si>
  <si>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</si>
  <si>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</si>
  <si>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</si>
  <si>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</si>
  <si>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</si>
  <si>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</si>
  <si>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</si>
  <si>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</si>
  <si>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</si>
  <si>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</si>
  <si>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</si>
  <si>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</si>
  <si>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</si>
  <si>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</si>
  <si>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</si>
  <si>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</si>
  <si>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</si>
  <si>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</si>
  <si>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</si>
  <si>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</si>
  <si>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</si>
  <si>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</si>
  <si>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</si>
  <si>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</si>
  <si>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</si>
  <si>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</si>
  <si>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</si>
  <si>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</si>
  <si>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</si>
  <si>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</si>
  <si>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</si>
  <si>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</si>
  <si>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</si>
  <si>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</si>
  <si>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</si>
  <si>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</si>
  <si>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</si>
  <si>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</si>
  <si>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</si>
  <si>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</si>
  <si>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</si>
  <si>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</si>
  <si>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</si>
  <si>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</si>
  <si>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</si>
  <si>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</si>
  <si>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</si>
  <si>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</si>
  <si>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</si>
  <si>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</si>
  <si>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</si>
  <si>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</si>
  <si>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</si>
  <si>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</si>
  <si>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</si>
  <si>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</si>
  <si>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</si>
  <si>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</si>
  <si>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</si>
  <si>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</si>
  <si>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</si>
  <si>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</si>
  <si>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</si>
  <si>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</si>
  <si>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</si>
  <si>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</si>
  <si>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</si>
  <si>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</si>
  <si>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</si>
  <si>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</si>
  <si>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</si>
  <si>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</si>
  <si>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</si>
  <si>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</si>
  <si>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</si>
  <si>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</si>
  <si>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</si>
  <si>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</si>
  <si>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</si>
  <si>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</si>
  <si>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</si>
  <si>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</si>
  <si>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</si>
  <si>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</si>
  <si>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</si>
  <si>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</si>
  <si>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</si>
  <si>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</si>
  <si>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</si>
  <si>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</si>
  <si>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</si>
  <si>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</si>
  <si>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</si>
  <si>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</si>
  <si>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</si>
  <si>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</si>
  <si>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</si>
  <si>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</si>
  <si>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</si>
  <si>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</si>
  <si>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</si>
  <si>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</si>
  <si>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</si>
  <si>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</si>
  <si>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</si>
  <si>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</si>
  <si>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</si>
  <si>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</si>
  <si>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</si>
  <si>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</si>
  <si>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</si>
  <si>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</si>
  <si>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</si>
  <si>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</si>
  <si>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</si>
  <si>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</si>
  <si>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</si>
  <si>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</si>
  <si>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</si>
  <si>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</si>
  <si>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</si>
  <si>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</si>
  <si>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</si>
  <si>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</si>
  <si>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</si>
  <si>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</si>
  <si>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</si>
  <si>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</si>
  <si>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</si>
  <si>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</si>
  <si>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</si>
  <si>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</si>
  <si>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</si>
  <si>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</si>
  <si>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</si>
  <si>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</si>
  <si>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</si>
  <si>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</si>
  <si>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</si>
  <si>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</si>
  <si>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</si>
  <si>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</si>
  <si>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</si>
  <si>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</si>
  <si>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</si>
  <si>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</si>
  <si>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</si>
  <si>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</si>
  <si>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</si>
  <si>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</si>
  <si>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</si>
  <si>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</si>
  <si>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</si>
  <si>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</si>
  <si>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</si>
  <si>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</si>
  <si>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</si>
  <si>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</si>
  <si>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</si>
  <si>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</si>
  <si>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</si>
  <si>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</si>
  <si>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</si>
  <si>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</si>
  <si>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</si>
  <si>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</si>
  <si>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</si>
  <si>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</si>
  <si>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</si>
  <si>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</si>
  <si>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</si>
  <si>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</si>
  <si>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</si>
  <si>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</si>
  <si>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</si>
  <si>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</si>
  <si>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</si>
  <si>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</si>
  <si>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</si>
  <si>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</si>
  <si>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</si>
  <si>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</si>
  <si>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</si>
  <si>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</si>
  <si>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</si>
  <si>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</si>
  <si>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</si>
  <si>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</si>
  <si>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</si>
  <si>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</si>
  <si>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</si>
  <si>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</si>
  <si>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</si>
  <si>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</si>
  <si>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</si>
  <si>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</si>
  <si>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</si>
  <si>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</si>
  <si>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</si>
  <si>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</si>
  <si>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</si>
  <si>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</si>
  <si>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</si>
  <si>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</si>
  <si>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</si>
  <si>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</si>
  <si>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</si>
  <si>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</si>
  <si>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</si>
  <si>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</si>
  <si>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</si>
  <si>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</si>
  <si>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</si>
  <si>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</si>
  <si>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</si>
  <si>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</si>
  <si>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</si>
  <si>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</si>
  <si>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</si>
  <si>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</si>
  <si>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</si>
  <si>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</si>
  <si>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</si>
  <si>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</si>
  <si>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</si>
  <si>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</si>
  <si>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</si>
  <si>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</si>
  <si>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</si>
  <si>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</si>
  <si>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</si>
  <si>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</si>
  <si>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</si>
  <si>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</si>
  <si>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</si>
  <si>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</si>
  <si>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</si>
  <si>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</si>
  <si>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</si>
  <si>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</si>
  <si>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</si>
  <si>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</si>
  <si>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</si>
  <si>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</si>
  <si>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</si>
  <si>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</si>
  <si>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</si>
  <si>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</si>
  <si>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</si>
  <si>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</si>
  <si>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</si>
  <si>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</si>
  <si>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</si>
  <si>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</si>
  <si>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</si>
  <si>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</si>
  <si>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</si>
  <si>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</si>
  <si>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</si>
  <si>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</si>
  <si>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</si>
  <si>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</si>
  <si>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</si>
  <si>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</si>
  <si>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</si>
  <si>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</si>
  <si>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</si>
  <si>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</si>
  <si>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</si>
  <si>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</si>
  <si>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</si>
  <si>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</si>
  <si>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</si>
  <si>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</si>
  <si>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</si>
  <si>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</si>
  <si>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</si>
  <si>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</si>
  <si>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</si>
  <si>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</si>
  <si>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</si>
  <si>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</si>
  <si>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</si>
  <si>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</si>
  <si>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</si>
  <si>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</si>
  <si>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</si>
  <si>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</si>
  <si>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</si>
  <si>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</si>
  <si>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</si>
  <si>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</si>
  <si>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</si>
  <si>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</si>
  <si>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</si>
  <si>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</si>
  <si>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</si>
  <si>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</si>
  <si>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</si>
  <si>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</si>
  <si>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</si>
  <si>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</si>
  <si>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</si>
  <si>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</si>
  <si>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</si>
  <si>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</si>
  <si>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</si>
  <si>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</si>
  <si>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</si>
  <si>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</si>
  <si>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</si>
  <si>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</si>
  <si>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</si>
  <si>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</si>
  <si>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</si>
  <si>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</si>
  <si>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</si>
  <si>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</si>
  <si>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</si>
  <si>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</si>
  <si>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</si>
  <si>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</si>
  <si>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</si>
  <si>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</si>
  <si>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</si>
  <si>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</si>
  <si>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</si>
  <si>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</si>
  <si>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</si>
  <si>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</si>
  <si>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</si>
  <si>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</si>
  <si>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</si>
  <si>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</si>
  <si>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</si>
  <si>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</si>
  <si>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</si>
  <si>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</si>
  <si>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</si>
  <si>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</si>
  <si>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</si>
  <si>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</si>
  <si>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</si>
  <si>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</si>
  <si>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</si>
  <si>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</si>
  <si>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</si>
  <si>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</si>
  <si>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</si>
  <si>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</si>
  <si>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</si>
  <si>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</si>
  <si>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</si>
  <si>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</si>
  <si>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</si>
  <si>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</si>
  <si>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</si>
  <si>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</si>
  <si>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</si>
  <si>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</si>
  <si>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</si>
  <si>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</si>
  <si>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</si>
  <si>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</si>
  <si>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</si>
  <si>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</si>
  <si>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</si>
  <si>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</si>
  <si>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</si>
  <si>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</si>
  <si>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</si>
  <si>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</si>
  <si>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</si>
  <si>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</si>
  <si>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</si>
  <si>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</si>
  <si>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</si>
  <si>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</si>
  <si>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</si>
  <si>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</si>
  <si>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</si>
  <si>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</si>
  <si>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</si>
  <si>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</si>
  <si>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</si>
  <si>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</si>
  <si>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</si>
  <si>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</si>
  <si>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</si>
  <si>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</si>
  <si>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</si>
  <si>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</si>
  <si>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</si>
  <si>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</si>
  <si>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</si>
  <si>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</si>
  <si>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</si>
  <si>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</si>
  <si>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</si>
  <si>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</si>
  <si>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</si>
  <si>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</si>
  <si>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</si>
  <si>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</si>
  <si>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</si>
  <si>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</si>
  <si>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</si>
  <si>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</si>
  <si>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</si>
  <si>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</si>
  <si>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</si>
  <si>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</si>
  <si>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</si>
  <si>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</si>
  <si>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</si>
  <si>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</si>
  <si>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</si>
  <si>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</si>
  <si>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</si>
  <si>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</si>
  <si>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</si>
  <si>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</si>
  <si>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</si>
  <si>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</si>
  <si>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</si>
  <si>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</si>
  <si>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</si>
  <si>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</si>
  <si>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</si>
  <si>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</si>
  <si>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</si>
  <si>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</si>
  <si>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</si>
  <si>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</si>
  <si>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</si>
  <si>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</si>
  <si>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</si>
  <si>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</si>
  <si>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</si>
  <si>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</si>
  <si>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</si>
  <si>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</si>
  <si>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</si>
  <si>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</si>
  <si>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</si>
  <si>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</si>
  <si>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</si>
  <si>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</si>
  <si>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</si>
  <si>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</si>
  <si>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</si>
  <si>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</si>
  <si>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</si>
  <si>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</si>
  <si>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</si>
  <si>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</si>
  <si>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</si>
  <si>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</si>
  <si>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</si>
  <si>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</si>
  <si>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</si>
  <si>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</si>
  <si>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</si>
  <si>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</si>
  <si>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</si>
  <si>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</si>
  <si>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</si>
  <si>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</si>
  <si>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</si>
  <si>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</si>
  <si>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</si>
  <si>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</si>
  <si>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</si>
  <si>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</si>
  <si>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</si>
  <si>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</si>
  <si>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</si>
  <si>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</si>
  <si>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</si>
  <si>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</si>
  <si>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</si>
  <si>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</si>
  <si>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</si>
  <si>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</si>
  <si>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</si>
  <si>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</si>
  <si>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</si>
  <si>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</si>
  <si>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</si>
  <si>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</si>
  <si>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</si>
  <si>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</si>
  <si>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</si>
  <si>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</si>
  <si>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</si>
  <si>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</si>
  <si>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</si>
  <si>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</si>
  <si>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</si>
  <si>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</si>
  <si>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</si>
  <si>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</si>
  <si>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</si>
  <si>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</si>
  <si>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</si>
  <si>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</si>
  <si>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</si>
  <si>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</si>
  <si>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</si>
  <si>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</si>
  <si>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</si>
  <si>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</si>
  <si>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</si>
  <si>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</si>
  <si>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</si>
  <si>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</si>
  <si>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</si>
  <si>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</si>
  <si>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</si>
  <si>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</si>
  <si>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</si>
  <si>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</si>
  <si>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</si>
  <si>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</si>
  <si>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</si>
  <si>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</si>
  <si>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</si>
  <si>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</si>
  <si>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</si>
  <si>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</si>
  <si>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</si>
  <si>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</si>
  <si>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</si>
  <si>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</si>
  <si>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</si>
  <si>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</si>
  <si>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</si>
  <si>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</si>
  <si>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</si>
  <si>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</si>
  <si>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</si>
  <si>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</si>
  <si>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</si>
  <si>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</si>
  <si>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</si>
  <si>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</si>
  <si>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</si>
  <si>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</si>
  <si>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</si>
  <si>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</si>
  <si>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</si>
  <si>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</si>
  <si>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</si>
  <si>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</si>
  <si>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</si>
  <si>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</si>
  <si>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</si>
  <si>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</si>
  <si>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</si>
  <si>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</si>
  <si>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</si>
  <si>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</si>
  <si>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</si>
  <si>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</si>
  <si>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</si>
  <si>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</si>
  <si>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</si>
  <si>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</si>
  <si>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</si>
  <si>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</si>
  <si>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</si>
  <si>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</si>
  <si>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</si>
  <si>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</si>
  <si>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</si>
  <si>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</si>
  <si>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</si>
  <si>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</si>
  <si>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</si>
  <si>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</si>
  <si>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</si>
  <si>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</si>
  <si>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</si>
  <si>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</si>
  <si>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</si>
  <si>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</si>
  <si>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</si>
  <si>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</si>
  <si>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</si>
  <si>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</si>
  <si>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</si>
  <si>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</si>
  <si>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</si>
  <si>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</si>
  <si>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</si>
  <si>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</si>
  <si>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</si>
  <si>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</si>
  <si>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</si>
  <si>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</si>
  <si>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</si>
  <si>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</si>
  <si>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</si>
  <si>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</si>
  <si>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</si>
  <si>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</si>
  <si>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</si>
  <si>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</si>
  <si>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</si>
  <si>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</si>
  <si>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</si>
  <si>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</si>
  <si>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</si>
  <si>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</si>
  <si>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</si>
  <si>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</si>
  <si>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</si>
  <si>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</si>
  <si>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</si>
  <si>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</si>
  <si>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</si>
  <si>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</si>
  <si>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</si>
  <si>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</si>
  <si>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</si>
  <si>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</si>
  <si>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</si>
  <si>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</si>
  <si>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</si>
  <si>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</si>
  <si>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</si>
  <si>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</si>
  <si>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</si>
  <si>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</si>
  <si>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</si>
  <si>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</si>
  <si>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</si>
  <si>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</si>
  <si>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</si>
  <si>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</si>
  <si>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</si>
  <si>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</si>
  <si>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</si>
  <si>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</si>
  <si>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</si>
  <si>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</si>
  <si>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</si>
  <si>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</si>
  <si>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</si>
  <si>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</si>
  <si>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</si>
  <si>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</si>
  <si>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</si>
  <si>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</si>
  <si>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</si>
  <si>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</si>
  <si>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</si>
  <si>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</si>
  <si>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</si>
  <si>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</si>
  <si>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</si>
  <si>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</si>
  <si>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</si>
  <si>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</si>
  <si>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</si>
  <si>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</si>
  <si>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</si>
  <si>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</si>
  <si>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</si>
  <si>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</si>
  <si>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</si>
  <si>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</si>
  <si>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</si>
  <si>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</si>
  <si>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</si>
  <si>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</si>
  <si>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</si>
  <si>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</si>
  <si>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</si>
  <si>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</si>
  <si>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</si>
  <si>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</si>
  <si>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</si>
  <si>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</si>
  <si>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</si>
  <si>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</si>
  <si>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</si>
  <si>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</si>
  <si>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</si>
  <si>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</si>
  <si>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</si>
  <si>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</si>
  <si>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</si>
  <si>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</si>
  <si>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</si>
  <si>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</si>
  <si>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</si>
  <si>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</si>
  <si>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</si>
  <si>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</si>
  <si>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</si>
  <si>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</si>
  <si>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</si>
  <si>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</si>
  <si>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</si>
  <si>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</si>
  <si>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</si>
  <si>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</si>
  <si>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</si>
  <si>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</si>
  <si>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</si>
  <si>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</si>
  <si>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</si>
  <si>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</si>
  <si>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</si>
  <si>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</si>
  <si>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</si>
  <si>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</si>
  <si>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</si>
  <si>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</si>
  <si>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</si>
  <si>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</si>
  <si>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</si>
  <si>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</si>
  <si>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</si>
  <si>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</si>
  <si>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</si>
  <si>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</si>
  <si>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</si>
  <si>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</si>
  <si>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</si>
  <si>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</si>
  <si>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</si>
  <si>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</si>
  <si>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</si>
  <si>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</si>
  <si>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</si>
  <si>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</si>
  <si>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</si>
  <si>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</si>
  <si>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</si>
  <si>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</si>
  <si>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</si>
  <si>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</si>
  <si>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</si>
  <si>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</si>
  <si>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</si>
  <si>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</si>
  <si>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</si>
  <si>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</si>
  <si>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</si>
  <si>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</si>
  <si>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</si>
  <si>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</si>
  <si>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</si>
  <si>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</si>
  <si>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</si>
  <si>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</si>
  <si>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</si>
  <si>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</si>
  <si>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</si>
  <si>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</si>
  <si>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</si>
  <si>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</si>
  <si>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</si>
  <si>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</si>
  <si>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</si>
  <si>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</si>
  <si>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</si>
  <si>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</si>
  <si>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</si>
  <si>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</si>
  <si>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</si>
  <si>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</si>
  <si>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</si>
  <si>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</si>
  <si>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</si>
  <si>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</si>
  <si>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</si>
  <si>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</si>
  <si>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</si>
  <si>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</si>
  <si>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</si>
  <si>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</si>
  <si>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</si>
  <si>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</si>
  <si>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</si>
  <si>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</si>
  <si>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</si>
  <si>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</si>
  <si>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</si>
  <si>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</si>
  <si>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</si>
  <si>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</si>
  <si>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</si>
  <si>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</si>
  <si>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</si>
  <si>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</si>
  <si>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</si>
  <si>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</si>
  <si>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</si>
  <si>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</si>
  <si>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</si>
  <si>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</si>
  <si>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</si>
  <si>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</si>
  <si>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</si>
  <si>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</si>
  <si>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</si>
  <si>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</si>
  <si>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</si>
  <si>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</si>
  <si>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</si>
  <si>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</si>
  <si>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</si>
  <si>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</si>
  <si>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</si>
  <si>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</si>
  <si>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</si>
  <si>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</si>
  <si>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</si>
  <si>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</si>
  <si>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</si>
  <si>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</si>
  <si>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</si>
  <si>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</si>
  <si>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</si>
  <si>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</si>
  <si>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</si>
  <si>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</si>
  <si>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</si>
  <si>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</si>
  <si>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</si>
  <si>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</si>
  <si>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</si>
  <si>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</si>
  <si>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</si>
  <si>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</si>
  <si>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</si>
  <si>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</si>
  <si>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</si>
  <si>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</si>
  <si>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</si>
  <si>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</si>
  <si>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</si>
  <si>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</si>
  <si>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</si>
  <si>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</si>
  <si>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</si>
  <si>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</si>
  <si>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</si>
  <si>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</si>
  <si>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</si>
  <si>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</si>
  <si>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</si>
  <si>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</si>
  <si>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</si>
  <si>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</si>
  <si>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</si>
  <si>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</si>
  <si>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</si>
  <si>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</si>
  <si>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</si>
  <si>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</si>
  <si>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</si>
  <si>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</si>
  <si>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</si>
  <si>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</si>
  <si>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</si>
  <si>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</si>
  <si>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</si>
  <si>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</si>
  <si>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</si>
  <si>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</si>
  <si>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</si>
  <si>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</si>
  <si>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</si>
  <si>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</si>
  <si>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</si>
  <si>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</si>
  <si>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</si>
  <si>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</si>
  <si>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</si>
  <si>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</si>
  <si>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</si>
  <si>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</si>
  <si>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</si>
  <si>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</si>
  <si>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</si>
  <si>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</si>
  <si>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</si>
  <si>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</si>
  <si>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</si>
  <si>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</si>
  <si>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</si>
  <si>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</si>
  <si>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</si>
  <si>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</si>
  <si>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</si>
  <si>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</si>
  <si>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</si>
  <si>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</si>
  <si>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</si>
  <si>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</si>
  <si>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</si>
  <si>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</si>
  <si>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</si>
  <si>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</si>
  <si>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</si>
  <si>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</si>
  <si>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</si>
  <si>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</si>
  <si>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</si>
  <si>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</si>
  <si>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</si>
  <si>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</si>
  <si>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</si>
  <si>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</si>
  <si>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</si>
  <si>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</si>
  <si>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</si>
  <si>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</si>
  <si>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</si>
  <si>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</si>
  <si>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</si>
  <si>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</si>
  <si>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</si>
  <si>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</si>
  <si>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</si>
  <si>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</si>
  <si>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</si>
  <si>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</si>
  <si>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</si>
  <si>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</si>
  <si>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</si>
  <si>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</si>
  <si>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</si>
  <si>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</si>
  <si>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</si>
  <si>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</si>
  <si>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</si>
  <si>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</si>
  <si>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</si>
  <si>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</si>
  <si>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</si>
  <si>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</si>
  <si>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</si>
  <si>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</si>
  <si>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</si>
  <si>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</si>
  <si>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</si>
  <si>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</si>
  <si>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</si>
  <si>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</si>
  <si>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</si>
  <si>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</si>
  <si>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</si>
  <si>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</si>
  <si>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</si>
  <si>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</si>
  <si>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</si>
  <si>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</si>
  <si>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</si>
  <si>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</si>
  <si>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</si>
  <si>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</si>
  <si>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</si>
  <si>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</si>
  <si>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</si>
  <si>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</si>
  <si>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</si>
  <si>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</si>
  <si>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</si>
  <si>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</si>
  <si>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</si>
  <si>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</si>
  <si>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</si>
  <si>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</si>
  <si>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</si>
  <si>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</si>
  <si>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</si>
  <si>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</si>
  <si>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</si>
  <si>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</si>
  <si>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</si>
  <si>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</si>
  <si>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</si>
  <si>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</si>
  <si>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</si>
  <si>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</si>
  <si>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</si>
  <si>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</si>
  <si>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</si>
  <si>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</si>
  <si>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</si>
  <si>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</si>
  <si>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</si>
  <si>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</si>
  <si>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</si>
  <si>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</si>
  <si>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</si>
  <si>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</si>
  <si>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</si>
  <si>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</si>
  <si>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</si>
  <si>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</si>
  <si>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</si>
  <si>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</si>
  <si>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</si>
  <si>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</si>
  <si>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</si>
  <si>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</si>
  <si>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</si>
  <si>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</si>
  <si>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</si>
  <si>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</si>
  <si>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</si>
  <si>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</si>
  <si>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</si>
  <si>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</si>
  <si>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</si>
  <si>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</si>
  <si>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</si>
  <si>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</si>
  <si>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</si>
  <si>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</si>
  <si>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</si>
  <si>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</si>
  <si>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</si>
  <si>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</si>
  <si>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</si>
  <si>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</si>
  <si>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</si>
  <si>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</si>
  <si>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</si>
  <si>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</si>
  <si>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</si>
  <si>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</si>
  <si>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</si>
  <si>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</si>
  <si>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</si>
  <si>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</si>
  <si>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</si>
  <si>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</si>
  <si>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</si>
  <si>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</si>
  <si>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</si>
  <si>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</si>
  <si>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</si>
  <si>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</si>
  <si>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</si>
  <si>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</si>
  <si>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</si>
  <si>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</si>
  <si>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</si>
  <si>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</si>
  <si>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</si>
  <si>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</si>
  <si>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</si>
  <si>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</si>
  <si>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</si>
  <si>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</si>
  <si>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</si>
  <si>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</si>
  <si>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</si>
  <si>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</si>
  <si>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</si>
  <si>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</si>
  <si>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</si>
  <si>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</si>
  <si>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</si>
  <si>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</si>
  <si>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</si>
  <si>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</si>
  <si>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</si>
  <si>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</si>
  <si>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</si>
  <si>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</si>
  <si>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</si>
  <si>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</si>
  <si>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</si>
  <si>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</si>
  <si>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</si>
  <si>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</si>
  <si>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</si>
  <si>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</si>
  <si>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</si>
  <si>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</si>
  <si>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</si>
  <si>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</si>
  <si>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</si>
  <si>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</si>
  <si>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</si>
  <si>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</si>
  <si>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</si>
  <si>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</si>
  <si>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</si>
  <si>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</si>
  <si>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</si>
  <si>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</si>
  <si>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</si>
  <si>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</si>
  <si>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</si>
  <si>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</si>
  <si>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</si>
  <si>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</si>
  <si>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</si>
  <si>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</si>
  <si>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</si>
  <si>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</si>
  <si>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</si>
  <si>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</si>
  <si>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</si>
  <si>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</si>
  <si>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</si>
  <si>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</si>
  <si>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</si>
  <si>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</si>
  <si>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</si>
  <si>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</si>
  <si>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</si>
  <si>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</si>
  <si>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</si>
  <si>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</si>
  <si>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</si>
  <si>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</si>
  <si>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</si>
  <si>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</si>
  <si>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</si>
  <si>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</si>
  <si>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</si>
  <si>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</si>
  <si>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</si>
  <si>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</si>
  <si>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</si>
  <si>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</si>
  <si>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</si>
  <si>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</si>
  <si>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</si>
  <si>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</si>
  <si>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</si>
  <si>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</si>
  <si>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</si>
  <si>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</si>
  <si>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</si>
  <si>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</si>
  <si>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</si>
  <si>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</si>
  <si>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</si>
  <si>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</si>
  <si>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</si>
  <si>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</si>
  <si>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</si>
  <si>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</si>
  <si>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</si>
  <si>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</si>
  <si>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</si>
  <si>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</si>
  <si>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</si>
  <si>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</si>
  <si>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</si>
  <si>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</si>
  <si>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</si>
  <si>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</si>
  <si>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</si>
  <si>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</si>
  <si>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</si>
  <si>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</si>
  <si>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</si>
  <si>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</si>
  <si>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</si>
  <si>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</si>
  <si>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</si>
  <si>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</si>
  <si>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</si>
  <si>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</si>
  <si>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</si>
  <si>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</si>
  <si>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</si>
  <si>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</si>
  <si>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</si>
  <si>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</si>
  <si>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</si>
  <si>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</si>
  <si>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</si>
  <si>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</si>
  <si>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</si>
  <si>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</si>
  <si>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</si>
  <si>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</si>
  <si>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</si>
  <si>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</si>
  <si>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</si>
  <si>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</si>
  <si>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</si>
  <si>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</si>
  <si>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</si>
  <si>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</si>
  <si>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</si>
  <si>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</si>
  <si>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</si>
  <si>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</si>
  <si>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</si>
  <si>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</si>
  <si>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</si>
  <si>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</si>
  <si>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</si>
  <si>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</si>
  <si>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</si>
  <si>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</si>
  <si>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</si>
  <si>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</si>
  <si>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</si>
  <si>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</si>
  <si>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</si>
  <si>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</si>
  <si>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</si>
  <si>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</si>
  <si>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</si>
  <si>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</si>
  <si>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</si>
  <si>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</si>
  <si>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</si>
  <si>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</si>
  <si>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</si>
  <si>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</si>
  <si>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</si>
  <si>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</si>
  <si>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</si>
  <si>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</si>
  <si>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</si>
  <si>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</si>
  <si>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</si>
  <si>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</si>
  <si>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</si>
  <si>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</si>
  <si>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</si>
  <si>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</si>
  <si>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</si>
  <si>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</si>
  <si>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</si>
  <si>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</si>
  <si>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</si>
  <si>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</si>
  <si>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</si>
  <si>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</si>
  <si>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</si>
  <si>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</si>
  <si>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</si>
  <si>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</si>
  <si>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</si>
  <si>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</si>
  <si>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</si>
  <si>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</si>
  <si>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</si>
  <si>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</si>
  <si>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</si>
  <si>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</si>
  <si>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</si>
  <si>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</si>
  <si>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</si>
  <si>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</si>
  <si>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</si>
  <si>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</si>
  <si>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</si>
  <si>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</si>
  <si>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</si>
  <si>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</si>
  <si>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</si>
  <si>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</si>
  <si>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</si>
  <si>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</si>
  <si>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</si>
  <si>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</si>
  <si>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</si>
  <si>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</si>
  <si>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</si>
  <si>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</si>
  <si>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</si>
  <si>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</si>
  <si>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</si>
  <si>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</si>
  <si>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</si>
  <si>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</si>
  <si>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</si>
  <si>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</si>
  <si>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</si>
  <si>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</si>
  <si>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</si>
  <si>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</si>
  <si>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</si>
  <si>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</si>
  <si>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</si>
  <si>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</si>
  <si>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</si>
  <si>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</si>
  <si>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</si>
  <si>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</si>
  <si>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</si>
  <si>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</si>
  <si>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</si>
  <si>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</si>
  <si>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</si>
  <si>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</si>
  <si>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</si>
  <si>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</si>
  <si>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</si>
  <si>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</si>
  <si>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</si>
  <si>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</si>
  <si>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</si>
  <si>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</si>
  <si>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</si>
  <si>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</si>
  <si>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</si>
  <si>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</si>
  <si>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</si>
  <si>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</si>
  <si>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</si>
  <si>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</si>
  <si>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</si>
  <si>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</si>
  <si>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</si>
  <si>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</si>
  <si>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</si>
  <si>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</si>
  <si>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</si>
  <si>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</si>
  <si>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</si>
  <si>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</si>
  <si>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</si>
  <si>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</si>
  <si>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</si>
  <si>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</si>
  <si>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</si>
  <si>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</si>
  <si>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</si>
  <si>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</si>
  <si>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</si>
  <si>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</si>
  <si>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</si>
  <si>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</si>
  <si>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</si>
  <si>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</si>
  <si>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</si>
  <si>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</si>
  <si>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</si>
  <si>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</si>
  <si>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</si>
  <si>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</si>
  <si>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</si>
  <si>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</si>
  <si>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</si>
  <si>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</si>
  <si>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</si>
  <si>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</si>
  <si>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</si>
  <si>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</si>
  <si>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</si>
  <si>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</si>
  <si>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</si>
  <si>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</si>
  <si>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</si>
  <si>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</si>
  <si>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</si>
  <si>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</si>
  <si>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</si>
  <si>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</si>
  <si>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</si>
  <si>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</si>
  <si>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</si>
  <si>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</si>
  <si>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</si>
  <si>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</si>
  <si>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</si>
  <si>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</si>
  <si>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</si>
  <si>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</si>
  <si>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</si>
  <si>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</si>
  <si>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</si>
  <si>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</si>
  <si>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</si>
  <si>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</si>
  <si>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</si>
  <si>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</si>
  <si>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</si>
  <si>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</si>
  <si>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</si>
  <si>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</si>
  <si>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</si>
  <si>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</si>
  <si>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</si>
  <si>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</si>
  <si>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</si>
  <si>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</si>
  <si>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</si>
  <si>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</si>
  <si>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</si>
  <si>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</si>
  <si>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</si>
  <si>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</si>
  <si>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</si>
  <si>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</si>
  <si>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</si>
  <si>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</si>
  <si>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</si>
  <si>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</si>
  <si>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</si>
  <si>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</si>
  <si>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</si>
  <si>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</si>
  <si>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</si>
  <si>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</si>
  <si>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</si>
  <si>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</si>
  <si>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</si>
  <si>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</si>
  <si>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</si>
  <si>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</si>
  <si>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</si>
  <si>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</si>
  <si>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</si>
  <si>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</si>
  <si>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</si>
  <si>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</si>
  <si>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</si>
  <si>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</si>
  <si>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</si>
  <si>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</si>
  <si>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</si>
  <si>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</si>
  <si>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</si>
  <si>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</si>
  <si>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</si>
  <si>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</si>
  <si>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</si>
  <si>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</si>
  <si>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</si>
  <si>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</si>
  <si>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</si>
  <si>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</si>
  <si>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</si>
  <si>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</si>
  <si>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</si>
  <si>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</si>
  <si>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</si>
  <si>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</si>
  <si>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</si>
  <si>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</si>
  <si>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</si>
  <si>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</si>
  <si>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</si>
  <si>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</si>
  <si>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</si>
  <si>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</si>
  <si>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</si>
  <si>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</si>
  <si>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</si>
  <si>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</si>
  <si>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</si>
  <si>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</si>
  <si>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</si>
  <si>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</si>
  <si>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</si>
  <si>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</si>
  <si>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</si>
  <si>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</si>
  <si>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</si>
  <si>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</si>
  <si>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</si>
  <si>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</si>
  <si>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</si>
  <si>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</si>
  <si>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</si>
  <si>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</si>
  <si>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</si>
  <si>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</si>
  <si>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</si>
  <si>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</si>
  <si>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</si>
  <si>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</si>
  <si>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</si>
  <si>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</si>
  <si>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</si>
  <si>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</si>
  <si>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</si>
  <si>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</si>
  <si>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</si>
  <si>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</si>
  <si>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</si>
  <si>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</si>
  <si>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</si>
  <si>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</si>
  <si>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</si>
  <si>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</si>
  <si>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</si>
  <si>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</si>
  <si>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</si>
  <si>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</si>
  <si>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</si>
  <si>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</si>
  <si>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</si>
  <si>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</si>
  <si>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</si>
  <si>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</si>
  <si>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</si>
  <si>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</si>
  <si>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</si>
  <si>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</si>
  <si>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</si>
  <si>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</si>
  <si>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</si>
  <si>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</si>
  <si>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</si>
  <si>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</si>
  <si>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</si>
  <si>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</si>
  <si>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</si>
  <si>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</si>
  <si>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</si>
  <si>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</si>
  <si>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</si>
  <si>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</si>
  <si>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</si>
  <si>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</si>
  <si>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</si>
  <si>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</si>
  <si>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</si>
  <si>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</si>
  <si>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</si>
  <si>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</si>
  <si>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</si>
  <si>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</si>
  <si>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</si>
  <si>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</si>
  <si>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</si>
  <si>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</si>
  <si>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</si>
  <si>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</si>
  <si>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</si>
  <si>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</si>
  <si>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</si>
  <si>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</si>
  <si>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</si>
  <si>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</si>
  <si>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</si>
  <si>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</si>
  <si>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</si>
  <si>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</si>
  <si>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</si>
  <si>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</si>
  <si>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</si>
  <si>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</si>
  <si>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</si>
  <si>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</si>
  <si>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</si>
  <si>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</si>
  <si>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</si>
  <si>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</si>
  <si>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</si>
  <si>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</si>
  <si>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</si>
  <si>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</si>
  <si>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</si>
  <si>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</si>
  <si>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</si>
  <si>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</si>
  <si>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</si>
  <si>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</si>
  <si>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</si>
  <si>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</si>
  <si>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</si>
  <si>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</si>
  <si>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</si>
  <si>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</si>
  <si>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</si>
  <si>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</si>
  <si>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</si>
  <si>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</si>
  <si>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</si>
  <si>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</si>
  <si>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</si>
  <si>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</si>
  <si>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</si>
  <si>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</si>
  <si>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</si>
  <si>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</si>
  <si>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</si>
  <si>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</si>
  <si>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</si>
  <si>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</si>
  <si>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</si>
  <si>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</si>
  <si>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</si>
  <si>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</si>
  <si>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</si>
  <si>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</si>
  <si>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</si>
  <si>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</si>
  <si>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</si>
  <si>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</si>
  <si>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</si>
  <si>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</si>
  <si>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</si>
  <si>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</si>
  <si>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</si>
  <si>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</si>
  <si>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</si>
  <si>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</si>
  <si>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</si>
  <si>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</si>
  <si>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</si>
  <si>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</si>
  <si>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</si>
  <si>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</si>
  <si>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</si>
  <si>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</si>
  <si>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</si>
  <si>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</si>
  <si>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</si>
  <si>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</si>
  <si>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</si>
  <si>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</si>
  <si>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</si>
  <si>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</si>
  <si>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</si>
  <si>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</si>
  <si>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</si>
  <si>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</si>
  <si>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</si>
  <si>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</si>
  <si>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</si>
  <si>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</si>
  <si>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</si>
  <si>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</si>
  <si>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</si>
  <si>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</si>
  <si>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</si>
  <si>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</si>
  <si>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</si>
  <si>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</si>
  <si>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</si>
  <si>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</si>
  <si>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</si>
  <si>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</si>
  <si>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</si>
  <si>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</si>
  <si>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</si>
  <si>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</si>
  <si>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</si>
  <si>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</si>
  <si>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</si>
  <si>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</si>
  <si>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</si>
  <si>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</si>
  <si>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</si>
  <si>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</si>
  <si>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</si>
  <si>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</si>
  <si>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</si>
  <si>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</si>
  <si>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</si>
  <si>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</si>
  <si>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</si>
  <si>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</si>
  <si>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</si>
  <si>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</si>
  <si>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</si>
  <si>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</si>
  <si>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</si>
  <si>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</si>
  <si>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</si>
  <si>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</si>
  <si>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</si>
  <si>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</si>
  <si>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</si>
  <si>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</si>
  <si>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</si>
  <si>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</si>
  <si>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</si>
  <si>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</si>
  <si>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</si>
  <si>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</si>
  <si>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</si>
  <si>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</si>
  <si>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</si>
  <si>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</si>
  <si>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</si>
  <si>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</si>
  <si>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</si>
  <si>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</si>
  <si>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</si>
  <si>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</si>
  <si>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</si>
  <si>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</si>
  <si>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</si>
  <si>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</si>
  <si>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</si>
  <si>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</si>
  <si>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</si>
  <si>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</si>
  <si>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</si>
  <si>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</si>
  <si>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</si>
  <si>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</si>
  <si>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</si>
  <si>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</si>
  <si>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</si>
  <si>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</si>
  <si>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</si>
  <si>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</si>
  <si>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</si>
  <si>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</si>
  <si>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</si>
  <si>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</si>
  <si>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</si>
  <si>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</si>
  <si>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</si>
  <si>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</si>
  <si>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</si>
  <si>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</si>
  <si>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</si>
  <si>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</si>
  <si>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</si>
  <si>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</si>
  <si>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</si>
  <si>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</si>
  <si>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</si>
  <si>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</si>
  <si>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</si>
  <si>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</si>
  <si>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</si>
  <si>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</si>
  <si>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</si>
  <si>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</si>
  <si>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</si>
  <si>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</si>
  <si>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</si>
  <si>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</si>
  <si>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</si>
  <si>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</si>
  <si>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</si>
  <si>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</si>
  <si>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</si>
  <si>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</si>
  <si>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</si>
  <si>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</si>
  <si>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</si>
  <si>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</si>
  <si>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</si>
  <si>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</si>
  <si>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</si>
  <si>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</si>
  <si>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</si>
  <si>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</si>
  <si>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</si>
  <si>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</si>
  <si>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</si>
  <si>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</si>
  <si>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</si>
  <si>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</si>
  <si>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</si>
  <si>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</si>
  <si>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</si>
  <si>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</si>
  <si>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</si>
  <si>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</si>
  <si>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</si>
  <si>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</si>
  <si>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</si>
  <si>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</si>
  <si>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</si>
  <si>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</si>
  <si>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</si>
  <si>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</si>
  <si>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</si>
  <si>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</si>
  <si>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</si>
  <si>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</si>
  <si>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</si>
  <si>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</si>
  <si>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</si>
  <si>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</si>
  <si>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</si>
  <si>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</si>
  <si>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</si>
  <si>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</si>
  <si>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</si>
  <si>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</si>
  <si>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</si>
  <si>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</si>
  <si>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</si>
  <si>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</si>
  <si>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</si>
  <si>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</si>
  <si>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</si>
  <si>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</si>
  <si>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</si>
  <si>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</si>
  <si>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</si>
  <si>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</si>
  <si>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</si>
  <si>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</si>
  <si>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</si>
  <si>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</si>
  <si>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</si>
  <si>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</si>
  <si>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</si>
  <si>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</si>
  <si>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</si>
  <si>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</si>
  <si>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</si>
  <si>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</si>
  <si>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</si>
  <si>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</si>
  <si>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</si>
  <si>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</si>
  <si>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</si>
  <si>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</si>
  <si>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</si>
  <si>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</si>
  <si>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</si>
  <si>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</si>
  <si>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</si>
  <si>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</si>
  <si>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</si>
  <si>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</si>
  <si>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</si>
  <si>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</si>
  <si>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</si>
  <si>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</si>
  <si>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</si>
  <si>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</si>
  <si>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</si>
  <si>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</si>
  <si>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</si>
  <si>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</si>
  <si>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</si>
  <si>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</si>
  <si>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</si>
  <si>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</si>
  <si>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</si>
  <si>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</si>
  <si>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</si>
  <si>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</si>
  <si>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</si>
  <si>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</si>
  <si>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</si>
  <si>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</si>
  <si>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</si>
  <si>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</si>
  <si>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</si>
  <si>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</si>
  <si>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</si>
  <si>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</si>
  <si>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</si>
  <si>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</si>
  <si>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</si>
  <si>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</si>
  <si>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</si>
  <si>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</si>
  <si>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</si>
  <si>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</si>
  <si>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</si>
  <si>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</si>
  <si>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</si>
  <si>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</si>
  <si>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</si>
  <si>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</si>
  <si>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</si>
  <si>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</si>
  <si>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</si>
  <si>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</si>
  <si>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</si>
  <si>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</si>
  <si>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</si>
  <si>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</si>
  <si>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</si>
  <si>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</si>
  <si>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</si>
  <si>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</si>
  <si>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</si>
  <si>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</si>
  <si>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</si>
  <si>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</si>
  <si>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</si>
  <si>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</si>
  <si>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</si>
  <si>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</si>
  <si>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</si>
  <si>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</si>
  <si>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</si>
  <si>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</si>
  <si>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</si>
  <si>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</si>
  <si>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</si>
  <si>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</si>
  <si>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</si>
  <si>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</si>
  <si>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</si>
  <si>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</si>
  <si>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</si>
  <si>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</si>
  <si>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</si>
  <si>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</si>
  <si>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</si>
  <si>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</si>
  <si>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</si>
  <si>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</si>
  <si>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</si>
  <si>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</si>
  <si>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</si>
  <si>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</si>
  <si>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</si>
  <si>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</si>
  <si>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</si>
  <si>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</si>
  <si>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</si>
  <si>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</si>
  <si>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</si>
  <si>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</si>
  <si>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</si>
  <si>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</si>
  <si>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</si>
  <si>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</si>
  <si>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</si>
  <si>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</si>
  <si>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</si>
  <si>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</si>
  <si>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</si>
  <si>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</si>
  <si>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</si>
  <si>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</si>
  <si>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</si>
  <si>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</si>
  <si>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</si>
  <si>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</si>
  <si>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</si>
  <si>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</si>
  <si>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</si>
  <si>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</si>
  <si>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</si>
  <si>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</si>
  <si>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</si>
  <si>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</si>
  <si>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</si>
  <si>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</si>
  <si>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</si>
  <si>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</si>
  <si>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</si>
  <si>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</si>
  <si>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</si>
  <si>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</si>
  <si>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</si>
  <si>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</si>
  <si>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</si>
  <si>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</si>
  <si>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</si>
  <si>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</si>
  <si>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</si>
  <si>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</si>
  <si>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</si>
  <si>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</si>
  <si>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</si>
  <si>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</si>
  <si>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</si>
  <si>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</si>
  <si>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</si>
  <si>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</si>
  <si>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</si>
  <si>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</si>
  <si>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</si>
  <si>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</si>
  <si>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</si>
  <si>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</si>
  <si>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</si>
  <si>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</si>
  <si>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</si>
  <si>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</si>
  <si>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</si>
  <si>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</si>
  <si>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</si>
  <si>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</si>
  <si>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</si>
  <si>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</si>
  <si>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</si>
  <si>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</si>
  <si>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</si>
  <si>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</si>
  <si>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</si>
  <si>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</si>
  <si>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</si>
  <si>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</si>
  <si>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</si>
  <si>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</si>
  <si>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</si>
  <si>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</si>
  <si>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</si>
  <si>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</si>
  <si>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</si>
  <si>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</si>
  <si>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</si>
  <si>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</si>
  <si>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</si>
  <si>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</si>
  <si>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</si>
  <si>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</si>
  <si>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</si>
  <si>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</si>
  <si>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</si>
  <si>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</si>
  <si>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</si>
  <si>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</si>
  <si>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</si>
  <si>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</si>
  <si>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</si>
  <si>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</si>
  <si>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</si>
  <si>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</si>
  <si>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</si>
  <si>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</si>
  <si>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</si>
  <si>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</si>
  <si>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</si>
  <si>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</si>
  <si>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</si>
  <si>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</si>
  <si>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</si>
  <si>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</si>
  <si>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</si>
  <si>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</si>
  <si>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</si>
  <si>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</si>
  <si>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</si>
  <si>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</si>
  <si>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</si>
  <si>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</si>
  <si>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</si>
  <si>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</si>
  <si>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</si>
  <si>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</si>
  <si>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</si>
  <si>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</si>
  <si>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</si>
  <si>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</si>
  <si>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</si>
  <si>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</si>
  <si>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</si>
  <si>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</si>
  <si>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</si>
  <si>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</si>
  <si>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</si>
  <si>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</si>
  <si>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</si>
  <si>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</si>
  <si>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</si>
  <si>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</si>
  <si>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</si>
  <si>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</si>
  <si>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</si>
  <si>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</si>
  <si>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</si>
  <si>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</si>
  <si>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</si>
  <si>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</si>
  <si>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</si>
  <si>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</si>
  <si>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</si>
  <si>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</si>
  <si>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</si>
  <si>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</si>
  <si>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</si>
  <si>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</si>
  <si>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</si>
  <si>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</si>
  <si>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</si>
  <si>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</si>
  <si>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</si>
  <si>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</si>
  <si>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</si>
  <si>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</si>
  <si>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</si>
  <si>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</si>
  <si>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</si>
  <si>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</si>
  <si>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</si>
  <si>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</si>
  <si>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</si>
  <si>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</si>
  <si>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</si>
  <si>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</si>
  <si>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</si>
  <si>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</si>
  <si>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</si>
  <si>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</si>
  <si>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</si>
  <si>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</si>
  <si>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</si>
  <si>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</si>
  <si>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</si>
  <si>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</si>
  <si>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</si>
  <si>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</si>
  <si>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</si>
  <si>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</si>
  <si>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Mean</t>
  </si>
  <si>
    <t>Median</t>
  </si>
  <si>
    <t>Count</t>
  </si>
  <si>
    <t>min</t>
  </si>
  <si>
    <t>max</t>
  </si>
  <si>
    <t>Min</t>
  </si>
  <si>
    <t>Max</t>
  </si>
  <si>
    <t>Column</t>
  </si>
  <si>
    <t>Q1</t>
  </si>
  <si>
    <t>Q3</t>
  </si>
  <si>
    <t>==QUARTILE.INC(N2:N1201,1)</t>
  </si>
  <si>
    <t>IQR</t>
  </si>
  <si>
    <t>Upper limit</t>
  </si>
  <si>
    <t>Lower limit</t>
  </si>
  <si>
    <t>Outlier</t>
  </si>
  <si>
    <t>Grand Total</t>
  </si>
  <si>
    <t>Sum of TotalPrice</t>
  </si>
  <si>
    <t>Years (Date)</t>
  </si>
  <si>
    <t>(All)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</si>
  <si>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</si>
  <si>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</si>
  <si>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</si>
  <si>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</si>
  <si>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</si>
  <si>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</si>
  <si>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</si>
  <si>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</si>
  <si>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</si>
  <si>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</si>
  <si>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</si>
  <si>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</si>
  <si>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Quarters (Date)</t>
  </si>
  <si>
    <t>Months (Date)</t>
  </si>
  <si>
    <t>Sum of UnitPrice</t>
  </si>
  <si>
    <t>Sum of ItemsInCart</t>
  </si>
  <si>
    <t>Count of CustomerID</t>
  </si>
  <si>
    <t>2023</t>
  </si>
  <si>
    <t>2024</t>
  </si>
  <si>
    <t>2025</t>
  </si>
  <si>
    <t>Qtr1</t>
  </si>
  <si>
    <t>Qtr2</t>
  </si>
  <si>
    <t>Qtr3</t>
  </si>
  <si>
    <t>Qtr4</t>
  </si>
  <si>
    <t>2023 Total</t>
  </si>
  <si>
    <t>Qtr1 Total</t>
  </si>
  <si>
    <t>2025 Total</t>
  </si>
  <si>
    <t>Qtr2 Total</t>
  </si>
  <si>
    <t>Average of Quantity</t>
  </si>
  <si>
    <t>Count of OrderStatus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</si>
</sst>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25">
    <dxf>
      <numFmt numFmtId="174" formatCode="0.0"/>
    </dxf>
    <dxf>
      <numFmt numFmtId="1" formatCode="0"/>
    </dxf>
    <dxf>
      <numFmt numFmtId="174" formatCode="0.0"/>
    </dxf>
    <dxf>
      <numFmt numFmtId="2" formatCode="0.00"/>
    </dxf>
    <dxf>
      <numFmt numFmtId="2" formatCode="0.00"/>
    </dxf>
    <dxf>
      <numFmt numFmtId="173" formatCode="0.000"/>
    </dxf>
    <dxf>
      <numFmt numFmtId="173" formatCode="0.000"/>
    </dxf>
    <dxf>
      <numFmt numFmtId="172" formatCode="0.0000"/>
    </dxf>
    <dxf>
      <numFmt numFmtId="172" formatCode="0.0000"/>
    </dxf>
    <dxf>
      <numFmt numFmtId="171" formatCode="0.00000"/>
    </dxf>
    <dxf>
      <numFmt numFmtId="171" formatCode="0.00000"/>
    </dxf>
    <dxf>
      <numFmt numFmtId="170" formatCode="0.000000"/>
    </dxf>
    <dxf>
      <numFmt numFmtId="170" formatCode="0.000000"/>
    </dxf>
    <dxf>
      <numFmt numFmtId="169" formatCode="0.0000000"/>
    </dxf>
    <dxf>
      <numFmt numFmtId="169" formatCode="0.0000000"/>
    </dxf>
    <dxf>
      <numFmt numFmtId="168" formatCode="0.00000000"/>
    </dxf>
    <dxf>
      <numFmt numFmtId="168" formatCode="0.000000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5654919847347848"/>
              <c:y val="1.61263462756810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6655366709300239E-3"/>
              <c:y val="7.58964612182097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0070263258772858E-2"/>
              <c:y val="4.2821608218341398E-2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701891715590344E-2"/>
          <c:y val="0.22719558331070686"/>
          <c:w val="0.94259621656881931"/>
          <c:h val="0.68913422029142912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6E-416B-B717-0A2BBEAE884E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6E-416B-B717-0A2BBEAE884E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6E-416B-B717-0A2BBEAE884E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46E-416B-B717-0A2BBEAE884E}"/>
              </c:ext>
            </c:extLst>
          </c:dPt>
          <c:dLbls>
            <c:dLbl>
              <c:idx val="5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6E-416B-B717-0A2BBEAE884E}"/>
                </c:ext>
              </c:extLst>
            </c:dLbl>
            <c:dLbl>
              <c:idx val="6"/>
              <c:layout>
                <c:manualLayout>
                  <c:x val="-0.15654919847347848"/>
                  <c:y val="1.61263462756810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6E-416B-B717-0A2BBEAE884E}"/>
                </c:ext>
              </c:extLst>
            </c:dLbl>
            <c:dLbl>
              <c:idx val="8"/>
              <c:layout>
                <c:manualLayout>
                  <c:x val="-7.0070263258772858E-2"/>
                  <c:y val="4.2821608218341398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6E-416B-B717-0A2BBEAE884E}"/>
                </c:ext>
              </c:extLst>
            </c:dLbl>
            <c:dLbl>
              <c:idx val="11"/>
              <c:layout>
                <c:manualLayout>
                  <c:x val="-6.6655366709300239E-3"/>
                  <c:y val="7.58964612182097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6E-416B-B717-0A2BBEAE88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Table'!$B$6:$B$18</c:f>
              <c:numCache>
                <c:formatCode>"$"#,##0.00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E-416B-B717-0A2BBEAE88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60025152"/>
        <c:axId val="1960019872"/>
      </c:lineChart>
      <c:catAx>
        <c:axId val="196002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019872"/>
        <c:crosses val="autoZero"/>
        <c:auto val="1"/>
        <c:lblAlgn val="ctr"/>
        <c:lblOffset val="100"/>
        <c:noMultiLvlLbl val="0"/>
      </c:catAx>
      <c:valAx>
        <c:axId val="1960019872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96002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36-4A1E-8C18-1095252BCC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Table'!$G$3:$G$9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Table'!$H$3:$H$9</c:f>
              <c:numCache>
                <c:formatCode>"$"#,##0.00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6-4A1E-8C18-1095252BCC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88818624"/>
        <c:axId val="388832064"/>
      </c:barChart>
      <c:catAx>
        <c:axId val="38881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32064"/>
        <c:crosses val="autoZero"/>
        <c:auto val="1"/>
        <c:lblAlgn val="ctr"/>
        <c:lblOffset val="100"/>
        <c:noMultiLvlLbl val="0"/>
      </c:catAx>
      <c:valAx>
        <c:axId val="388832064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1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Quantity vs TotalPrice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'Pivot Table'!$D$25</c:f>
              <c:strCache>
                <c:ptCount val="1"/>
                <c:pt idx="0">
                  <c:v>Sum of TotalPrice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'Pivot Table'!$C$26:$C$30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xVal>
          <c:yVal>
            <c:numRef>
              <c:f>'Pivot Table'!$D$26:$D$30</c:f>
              <c:numCache>
                <c:formatCode>General</c:formatCode>
                <c:ptCount val="5"/>
                <c:pt idx="0">
                  <c:v>379936.85000000009</c:v>
                </c:pt>
                <c:pt idx="1">
                  <c:v>368090.9600000002</c:v>
                </c:pt>
                <c:pt idx="2">
                  <c:v>261276.18000000002</c:v>
                </c:pt>
                <c:pt idx="3">
                  <c:v>165729.68000000002</c:v>
                </c:pt>
                <c:pt idx="4">
                  <c:v>89728.289999999964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34-40F1-8F93-7255FA5E6E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31370640"/>
        <c:axId val="431360080"/>
      </c:scatterChart>
      <c:valAx>
        <c:axId val="43137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360080"/>
        <c:crosses val="autoZero"/>
        <c:crossBetween val="midCat"/>
      </c:valAx>
      <c:valAx>
        <c:axId val="43136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TotalPrice</a:t>
                </a:r>
              </a:p>
            </c:rich>
          </c:tx>
          <c:layout>
            <c:manualLayout>
              <c:xMode val="edge"/>
              <c:yMode val="edge"/>
              <c:x val="1.486725746594704E-2"/>
              <c:y val="0.371357779426219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37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(1).xlsx]Pivot Table!PivotTable9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Total 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FF00"/>
          </a:solidFill>
          <a:ln>
            <a:noFill/>
          </a:ln>
          <a:effectLst/>
        </c:spPr>
        <c:dLbl>
          <c:idx val="0"/>
          <c:layout>
            <c:manualLayout>
              <c:x val="-0.17901686075244233"/>
              <c:y val="3.260869286128955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019318200024399"/>
                  <c:h val="7.6336949988278849E-2"/>
                </c:manualLayout>
              </c15:layout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3695278964667734"/>
              <c:y val="-1.19563825946541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613-4AD7-9FD2-ED0E1A5D2A8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613-4AD7-9FD2-ED0E1A5D2A8D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613-4AD7-9FD2-ED0E1A5D2A8D}"/>
              </c:ext>
            </c:extLst>
          </c:dPt>
          <c:dLbls>
            <c:dLbl>
              <c:idx val="0"/>
              <c:layout>
                <c:manualLayout>
                  <c:x val="-0.17901686075244233"/>
                  <c:y val="3.260869286128955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019318200024399"/>
                      <c:h val="7.633694998827884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6613-4AD7-9FD2-ED0E1A5D2A8D}"/>
                </c:ext>
              </c:extLst>
            </c:dLbl>
            <c:dLbl>
              <c:idx val="1"/>
              <c:layout>
                <c:manualLayout>
                  <c:x val="-0.13695278964667734"/>
                  <c:y val="-1.1956382594654157E-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613-4AD7-9FD2-ED0E1A5D2A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Table'!$G$24:$G$28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'Pivot Table'!$H$24:$H$28</c:f>
              <c:numCache>
                <c:formatCode>"$"#,##0.00</c:formatCode>
                <c:ptCount val="5"/>
                <c:pt idx="0">
                  <c:v>263847.62999999989</c:v>
                </c:pt>
                <c:pt idx="1">
                  <c:v>262442.94000000012</c:v>
                </c:pt>
                <c:pt idx="2">
                  <c:v>259786.28999999992</c:v>
                </c:pt>
                <c:pt idx="3">
                  <c:v>246323.9200000001</c:v>
                </c:pt>
                <c:pt idx="4">
                  <c:v>232361.17999999996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613-4AD7-9FD2-ED0E1A5D2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3701216"/>
        <c:axId val="433695936"/>
      </c:barChart>
      <c:valAx>
        <c:axId val="433695936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433701216"/>
        <c:crosses val="autoZero"/>
        <c:crossBetween val="between"/>
      </c:valAx>
      <c:catAx>
        <c:axId val="43370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9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(1).xlsx]Pivot Table!PivotTable12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Total Revenue By OrderStatus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Table'!$G$33:$G$37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'Pivot Table'!$H$33:$H$37</c:f>
              <c:numCache>
                <c:formatCode>"$"#,##0.00</c:formatCode>
                <c:ptCount val="5"/>
                <c:pt idx="0">
                  <c:v>276396.20999999996</c:v>
                </c:pt>
                <c:pt idx="1">
                  <c:v>256328.15000000002</c:v>
                </c:pt>
                <c:pt idx="2">
                  <c:v>246159.57999999987</c:v>
                </c:pt>
                <c:pt idx="3">
                  <c:v>243277.70000000013</c:v>
                </c:pt>
                <c:pt idx="4">
                  <c:v>242600.31999999998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0-4665-A1B1-B371AC18B6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367280"/>
        <c:axId val="431371120"/>
      </c:barChart>
      <c:catAx>
        <c:axId val="431367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1371120"/>
        <c:crosses val="autoZero"/>
        <c:auto val="1"/>
        <c:lblAlgn val="ctr"/>
        <c:lblOffset val="100"/>
        <c:noMultiLvlLbl val="0"/>
      </c:catAx>
      <c:valAx>
        <c:axId val="431371120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43136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27516</xdr:colOff>
      <xdr:row>5</xdr:row>
      <xdr:rowOff>47624</xdr:rowOff>
    </xdr:from>
    <xdr:to>
      <xdr:col>8</xdr:col>
      <xdr:colOff>391583</xdr:colOff>
      <xdr:row>25</xdr:row>
      <xdr:rowOff>10583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CDC08-46F2-4344-BB92-7C893623A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47626</xdr:colOff>
      <xdr:row>0</xdr:row>
      <xdr:rowOff>28575</xdr:rowOff>
    </xdr:from>
    <xdr:to>
      <xdr:col>3</xdr:col>
      <xdr:colOff>123826</xdr:colOff>
      <xdr:row>5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17DEE97-A80D-A864-D72A-CED9420D435D}"/>
            </a:ext>
          </a:extLst>
        </xdr:cNvPr>
        <xdr:cNvSpPr/>
      </xdr:nvSpPr>
      <xdr:spPr>
        <a:xfrm>
          <a:off x="47626" y="28575"/>
          <a:ext cx="1905000" cy="9620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b="1"/>
            <a:t>Decode </a:t>
          </a:r>
        </a:p>
        <a:p>
          <a:pPr algn="l"/>
          <a:r>
            <a:rPr lang="en-US" sz="2400" b="1"/>
            <a:t>Labs</a:t>
          </a:r>
        </a:p>
      </xdr:txBody>
    </xdr:sp>
    <xdr:clientData/>
  </xdr:twoCellAnchor>
  <xdr:twoCellAnchor>
    <xdr:from>
      <xdr:col>3</xdr:col>
      <xdr:colOff>161925</xdr:colOff>
      <xdr:row>0</xdr:row>
      <xdr:rowOff>19050</xdr:rowOff>
    </xdr:from>
    <xdr:to>
      <xdr:col>7</xdr:col>
      <xdr:colOff>19050</xdr:colOff>
      <xdr:row>5</xdr:row>
      <xdr:rowOff>19050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C373A93B-EA2F-4938-B347-95142F9FABF7}"/>
            </a:ext>
          </a:extLst>
        </xdr:cNvPr>
        <xdr:cNvGrpSpPr/>
      </xdr:nvGrpSpPr>
      <xdr:grpSpPr>
        <a:xfrm>
          <a:off x="1998889" y="19050"/>
          <a:ext cx="2306411" cy="952500"/>
          <a:chOff x="1962150" y="38100"/>
          <a:chExt cx="2295525" cy="952500"/>
        </a:xfrm>
      </xdr:grpSpPr>
      <xdr:sp macro="" textlink="'Pivot Table'!D5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EB50C0CD-FEBE-A284-FC07-C689503E6DD7}"/>
              </a:ext>
            </a:extLst>
          </xdr:cNvPr>
          <xdr:cNvSpPr/>
        </xdr:nvSpPr>
        <xdr:spPr>
          <a:xfrm>
            <a:off x="1962150" y="38100"/>
            <a:ext cx="2295525" cy="952500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88F53102-B246-4603-B0AE-41A06C37BAF6}" type="TxLink">
              <a:rPr lang="en-US" sz="20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$1,264,761.96</a:t>
            </a:fld>
            <a:endParaRPr lang="en-US" sz="4400" b="1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39835740-43F4-32AE-9498-60BC980322AB}"/>
              </a:ext>
            </a:extLst>
          </xdr:cNvPr>
          <xdr:cNvSpPr txBox="1"/>
        </xdr:nvSpPr>
        <xdr:spPr>
          <a:xfrm>
            <a:off x="2400300" y="85725"/>
            <a:ext cx="1438275" cy="447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800" b="1"/>
              <a:t>Total Sales</a:t>
            </a:r>
          </a:p>
        </xdr:txBody>
      </xdr:sp>
    </xdr:grpSp>
    <xdr:clientData/>
  </xdr:twoCellAnchor>
  <xdr:twoCellAnchor>
    <xdr:from>
      <xdr:col>7</xdr:col>
      <xdr:colOff>57150</xdr:colOff>
      <xdr:row>0</xdr:row>
      <xdr:rowOff>9525</xdr:rowOff>
    </xdr:from>
    <xdr:to>
      <xdr:col>10</xdr:col>
      <xdr:colOff>523875</xdr:colOff>
      <xdr:row>5</xdr:row>
      <xdr:rowOff>9525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B0783FEB-64E5-2225-4B52-0764C512E8E8}"/>
            </a:ext>
          </a:extLst>
        </xdr:cNvPr>
        <xdr:cNvGrpSpPr/>
      </xdr:nvGrpSpPr>
      <xdr:grpSpPr>
        <a:xfrm>
          <a:off x="4343400" y="9525"/>
          <a:ext cx="2303689" cy="952500"/>
          <a:chOff x="1962150" y="38100"/>
          <a:chExt cx="2295525" cy="952500"/>
        </a:xfrm>
      </xdr:grpSpPr>
      <xdr:sp macro="" textlink="'Pivot Table'!D9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D25D38D5-82EA-1FD9-B90B-C72F28CD8858}"/>
              </a:ext>
            </a:extLst>
          </xdr:cNvPr>
          <xdr:cNvSpPr/>
        </xdr:nvSpPr>
        <xdr:spPr>
          <a:xfrm>
            <a:off x="1962150" y="38100"/>
            <a:ext cx="2295525" cy="952500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4EC74035-4EA4-4EA7-80B2-ADB026252060}" type="TxLink">
              <a:rPr lang="en-US" sz="24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$427,695.30</a:t>
            </a:fld>
            <a:endParaRPr lang="en-US" sz="8000" b="1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633E2969-F02B-6CC2-0ADB-ACF3E6E86BD9}"/>
              </a:ext>
            </a:extLst>
          </xdr:cNvPr>
          <xdr:cNvSpPr txBox="1"/>
        </xdr:nvSpPr>
        <xdr:spPr>
          <a:xfrm>
            <a:off x="2400300" y="85725"/>
            <a:ext cx="1514475" cy="447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/>
              <a:t>Total UnitPrice</a:t>
            </a:r>
          </a:p>
        </xdr:txBody>
      </xdr:sp>
    </xdr:grpSp>
    <xdr:clientData/>
  </xdr:twoCellAnchor>
  <xdr:twoCellAnchor>
    <xdr:from>
      <xdr:col>10</xdr:col>
      <xdr:colOff>552450</xdr:colOff>
      <xdr:row>0</xdr:row>
      <xdr:rowOff>0</xdr:rowOff>
    </xdr:from>
    <xdr:to>
      <xdr:col>14</xdr:col>
      <xdr:colOff>409575</xdr:colOff>
      <xdr:row>5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4D28C8B5-64A0-3AB8-F8A8-5E2DA2939D91}"/>
            </a:ext>
          </a:extLst>
        </xdr:cNvPr>
        <xdr:cNvGrpSpPr/>
      </xdr:nvGrpSpPr>
      <xdr:grpSpPr>
        <a:xfrm>
          <a:off x="6675664" y="0"/>
          <a:ext cx="2306411" cy="952500"/>
          <a:chOff x="1962150" y="38100"/>
          <a:chExt cx="2295525" cy="952500"/>
        </a:xfrm>
      </xdr:grpSpPr>
      <xdr:sp macro="" textlink="'Pivot Table'!D13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7ADB2B67-168E-B75C-41E6-C72D26059B0D}"/>
              </a:ext>
            </a:extLst>
          </xdr:cNvPr>
          <xdr:cNvSpPr/>
        </xdr:nvSpPr>
        <xdr:spPr>
          <a:xfrm>
            <a:off x="1962150" y="38100"/>
            <a:ext cx="2295525" cy="952500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47A80520-1675-474F-B23B-43727FCA8831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6582</a:t>
            </a:fld>
            <a:endParaRPr lang="en-US" sz="2800" b="1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744A1FB-79C7-56A6-7D4B-8B5B52D516E2}"/>
              </a:ext>
            </a:extLst>
          </xdr:cNvPr>
          <xdr:cNvSpPr txBox="1"/>
        </xdr:nvSpPr>
        <xdr:spPr>
          <a:xfrm>
            <a:off x="2305050" y="76200"/>
            <a:ext cx="1676400" cy="447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 i="0" u="none" strike="noStrike">
                <a:solidFill>
                  <a:schemeClr val="dk1"/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Sum of ItemsInCart</a:t>
            </a:r>
            <a:r>
              <a:rPr lang="en-US" sz="1400" b="1">
                <a:latin typeface="Arial Black" panose="020B0A04020102020204" pitchFamily="34" charset="0"/>
              </a:rPr>
              <a:t> </a:t>
            </a:r>
          </a:p>
        </xdr:txBody>
      </xdr:sp>
    </xdr:grpSp>
    <xdr:clientData/>
  </xdr:twoCellAnchor>
  <xdr:twoCellAnchor>
    <xdr:from>
      <xdr:col>14</xdr:col>
      <xdr:colOff>428625</xdr:colOff>
      <xdr:row>0</xdr:row>
      <xdr:rowOff>19050</xdr:rowOff>
    </xdr:from>
    <xdr:to>
      <xdr:col>18</xdr:col>
      <xdr:colOff>285750</xdr:colOff>
      <xdr:row>5</xdr:row>
      <xdr:rowOff>19050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8AEB0407-308B-2DFE-FD09-E77BDC33365A}"/>
            </a:ext>
          </a:extLst>
        </xdr:cNvPr>
        <xdr:cNvGrpSpPr/>
      </xdr:nvGrpSpPr>
      <xdr:grpSpPr>
        <a:xfrm>
          <a:off x="9001125" y="19050"/>
          <a:ext cx="2306411" cy="952500"/>
          <a:chOff x="1962150" y="38100"/>
          <a:chExt cx="2295525" cy="952500"/>
        </a:xfrm>
      </xdr:grpSpPr>
      <xdr:sp macro="" textlink="'Pivot Table'!D17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86F2CFA1-37D9-CE65-9A05-25B281465D55}"/>
              </a:ext>
            </a:extLst>
          </xdr:cNvPr>
          <xdr:cNvSpPr/>
        </xdr:nvSpPr>
        <xdr:spPr>
          <a:xfrm>
            <a:off x="1962150" y="38100"/>
            <a:ext cx="2295525" cy="952500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9A93E9BE-CA46-4F14-B419-3FCC6E867749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1200</a:t>
            </a:fld>
            <a:endParaRPr lang="en-US" sz="6000" b="1" i="0" u="none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B9AA353-690C-E156-63AD-52CFAF86BC78}"/>
              </a:ext>
            </a:extLst>
          </xdr:cNvPr>
          <xdr:cNvSpPr txBox="1"/>
        </xdr:nvSpPr>
        <xdr:spPr>
          <a:xfrm>
            <a:off x="2047875" y="76200"/>
            <a:ext cx="2047875" cy="447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Count of CustomerID</a:t>
            </a:r>
            <a:r>
              <a:rPr lang="en-US" sz="1600"/>
              <a:t> </a:t>
            </a:r>
            <a:endParaRPr lang="en-US" sz="2000" b="1"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18</xdr:col>
      <xdr:colOff>316442</xdr:colOff>
      <xdr:row>0</xdr:row>
      <xdr:rowOff>33867</xdr:rowOff>
    </xdr:from>
    <xdr:to>
      <xdr:col>22</xdr:col>
      <xdr:colOff>173567</xdr:colOff>
      <xdr:row>5</xdr:row>
      <xdr:rowOff>33867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8051BEC-B618-4D6D-C4DF-3847A01FAF53}"/>
            </a:ext>
          </a:extLst>
        </xdr:cNvPr>
        <xdr:cNvGrpSpPr/>
      </xdr:nvGrpSpPr>
      <xdr:grpSpPr>
        <a:xfrm>
          <a:off x="11338228" y="33867"/>
          <a:ext cx="2306410" cy="952500"/>
          <a:chOff x="1962150" y="38100"/>
          <a:chExt cx="2295525" cy="952500"/>
        </a:xfrm>
      </xdr:grpSpPr>
      <xdr:sp macro="" textlink="'Pivot Table'!D22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377C5D67-2C48-E6E8-8981-7D1B180CDE96}"/>
              </a:ext>
            </a:extLst>
          </xdr:cNvPr>
          <xdr:cNvSpPr/>
        </xdr:nvSpPr>
        <xdr:spPr>
          <a:xfrm>
            <a:off x="1962150" y="38100"/>
            <a:ext cx="2295525" cy="952500"/>
          </a:xfrm>
          <a:prstGeom prst="round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22C2AB7C-E114-44C6-992F-DD2EBDDF453A}" type="TxLink">
              <a:rPr lang="en-US" sz="24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3</a:t>
            </a:fld>
            <a:endParaRPr lang="en-US" sz="11500" b="1" i="0" u="none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4F12EE60-6858-9469-FB2D-8185DB483856}"/>
              </a:ext>
            </a:extLst>
          </xdr:cNvPr>
          <xdr:cNvSpPr txBox="1"/>
        </xdr:nvSpPr>
        <xdr:spPr>
          <a:xfrm>
            <a:off x="2047875" y="76200"/>
            <a:ext cx="2047875" cy="447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 i="0" u="none" strike="noStrike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Average Quantity</a:t>
            </a:r>
            <a:endParaRPr lang="en-US" sz="2400" b="1"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8</xdr:col>
      <xdr:colOff>402165</xdr:colOff>
      <xdr:row>5</xdr:row>
      <xdr:rowOff>52917</xdr:rowOff>
    </xdr:from>
    <xdr:to>
      <xdr:col>18</xdr:col>
      <xdr:colOff>380999</xdr:colOff>
      <xdr:row>25</xdr:row>
      <xdr:rowOff>10583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E6C1E06-40A4-4011-83EE-82738AE7B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402166</xdr:colOff>
      <xdr:row>5</xdr:row>
      <xdr:rowOff>52916</xdr:rowOff>
    </xdr:from>
    <xdr:to>
      <xdr:col>28</xdr:col>
      <xdr:colOff>243416</xdr:colOff>
      <xdr:row>24</xdr:row>
      <xdr:rowOff>190499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9A731A1-0372-475D-B32A-CE7AB3BDE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31750</xdr:rowOff>
    </xdr:from>
    <xdr:to>
      <xdr:col>10</xdr:col>
      <xdr:colOff>352955</xdr:colOff>
      <xdr:row>45</xdr:row>
      <xdr:rowOff>116417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AF4CDA5-B081-47CC-89DF-876DFBAF4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370417</xdr:colOff>
      <xdr:row>25</xdr:row>
      <xdr:rowOff>21165</xdr:rowOff>
    </xdr:from>
    <xdr:to>
      <xdr:col>19</xdr:col>
      <xdr:colOff>21167</xdr:colOff>
      <xdr:row>44</xdr:row>
      <xdr:rowOff>21166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EAD1E70-8E73-43AC-A016-1CDFF51E6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6.59886539352" createdVersion="8" refreshedVersion="8" minRefreshableVersion="3" recordCount="1200" xr:uid="{84F9AE54-3288-4E98-BC5D-16303E583C0A}">
  <cacheSource type="worksheet">
    <worksheetSource ref="A1:N1201" sheet="Sheet1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165">
      <sharedItems containsSemiMixedTypes="0" containsString="0" containsNumber="1" minValue="11.39" maxValue="699.93" count="1193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</sharedItems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1"/>
    <x v="1"/>
  </r>
  <r>
    <x v="2"/>
    <x v="2"/>
    <x v="2"/>
    <x v="2"/>
    <x v="0"/>
    <x v="2"/>
    <x v="2"/>
    <x v="2"/>
    <x v="1"/>
    <x v="2"/>
    <x v="2"/>
    <x v="1"/>
    <x v="2"/>
    <x v="2"/>
  </r>
  <r>
    <x v="3"/>
    <x v="3"/>
    <x v="3"/>
    <x v="3"/>
    <x v="2"/>
    <x v="3"/>
    <x v="3"/>
    <x v="0"/>
    <x v="2"/>
    <x v="3"/>
    <x v="3"/>
    <x v="0"/>
    <x v="3"/>
    <x v="3"/>
  </r>
  <r>
    <x v="4"/>
    <x v="4"/>
    <x v="4"/>
    <x v="4"/>
    <x v="3"/>
    <x v="4"/>
    <x v="4"/>
    <x v="1"/>
    <x v="3"/>
    <x v="4"/>
    <x v="2"/>
    <x v="0"/>
    <x v="2"/>
    <x v="4"/>
  </r>
  <r>
    <x v="5"/>
    <x v="5"/>
    <x v="5"/>
    <x v="1"/>
    <x v="1"/>
    <x v="5"/>
    <x v="5"/>
    <x v="2"/>
    <x v="0"/>
    <x v="5"/>
    <x v="4"/>
    <x v="0"/>
    <x v="0"/>
    <x v="5"/>
  </r>
  <r>
    <x v="6"/>
    <x v="6"/>
    <x v="6"/>
    <x v="5"/>
    <x v="2"/>
    <x v="6"/>
    <x v="6"/>
    <x v="3"/>
    <x v="2"/>
    <x v="6"/>
    <x v="5"/>
    <x v="0"/>
    <x v="3"/>
    <x v="6"/>
  </r>
  <r>
    <x v="7"/>
    <x v="7"/>
    <x v="7"/>
    <x v="0"/>
    <x v="0"/>
    <x v="7"/>
    <x v="7"/>
    <x v="4"/>
    <x v="0"/>
    <x v="7"/>
    <x v="6"/>
    <x v="1"/>
    <x v="3"/>
    <x v="7"/>
  </r>
  <r>
    <x v="8"/>
    <x v="8"/>
    <x v="8"/>
    <x v="1"/>
    <x v="1"/>
    <x v="8"/>
    <x v="8"/>
    <x v="3"/>
    <x v="1"/>
    <x v="8"/>
    <x v="7"/>
    <x v="2"/>
    <x v="2"/>
    <x v="8"/>
  </r>
  <r>
    <x v="9"/>
    <x v="9"/>
    <x v="9"/>
    <x v="6"/>
    <x v="3"/>
    <x v="9"/>
    <x v="9"/>
    <x v="2"/>
    <x v="0"/>
    <x v="9"/>
    <x v="5"/>
    <x v="0"/>
    <x v="4"/>
    <x v="9"/>
  </r>
  <r>
    <x v="10"/>
    <x v="10"/>
    <x v="10"/>
    <x v="2"/>
    <x v="0"/>
    <x v="10"/>
    <x v="10"/>
    <x v="2"/>
    <x v="2"/>
    <x v="10"/>
    <x v="6"/>
    <x v="3"/>
    <x v="0"/>
    <x v="10"/>
  </r>
  <r>
    <x v="11"/>
    <x v="11"/>
    <x v="11"/>
    <x v="0"/>
    <x v="4"/>
    <x v="11"/>
    <x v="11"/>
    <x v="1"/>
    <x v="2"/>
    <x v="11"/>
    <x v="0"/>
    <x v="0"/>
    <x v="2"/>
    <x v="11"/>
  </r>
  <r>
    <x v="12"/>
    <x v="12"/>
    <x v="12"/>
    <x v="0"/>
    <x v="1"/>
    <x v="12"/>
    <x v="12"/>
    <x v="0"/>
    <x v="4"/>
    <x v="12"/>
    <x v="5"/>
    <x v="1"/>
    <x v="1"/>
    <x v="12"/>
  </r>
  <r>
    <x v="13"/>
    <x v="13"/>
    <x v="13"/>
    <x v="5"/>
    <x v="4"/>
    <x v="13"/>
    <x v="13"/>
    <x v="2"/>
    <x v="2"/>
    <x v="13"/>
    <x v="4"/>
    <x v="1"/>
    <x v="3"/>
    <x v="13"/>
  </r>
  <r>
    <x v="14"/>
    <x v="14"/>
    <x v="14"/>
    <x v="2"/>
    <x v="1"/>
    <x v="14"/>
    <x v="14"/>
    <x v="0"/>
    <x v="4"/>
    <x v="14"/>
    <x v="1"/>
    <x v="0"/>
    <x v="0"/>
    <x v="14"/>
  </r>
  <r>
    <x v="15"/>
    <x v="15"/>
    <x v="15"/>
    <x v="4"/>
    <x v="2"/>
    <x v="15"/>
    <x v="15"/>
    <x v="4"/>
    <x v="3"/>
    <x v="15"/>
    <x v="1"/>
    <x v="2"/>
    <x v="4"/>
    <x v="15"/>
  </r>
  <r>
    <x v="16"/>
    <x v="16"/>
    <x v="16"/>
    <x v="4"/>
    <x v="1"/>
    <x v="16"/>
    <x v="16"/>
    <x v="2"/>
    <x v="4"/>
    <x v="16"/>
    <x v="1"/>
    <x v="1"/>
    <x v="2"/>
    <x v="16"/>
  </r>
  <r>
    <x v="17"/>
    <x v="17"/>
    <x v="17"/>
    <x v="2"/>
    <x v="2"/>
    <x v="17"/>
    <x v="17"/>
    <x v="0"/>
    <x v="0"/>
    <x v="17"/>
    <x v="1"/>
    <x v="2"/>
    <x v="1"/>
    <x v="17"/>
  </r>
  <r>
    <x v="18"/>
    <x v="18"/>
    <x v="18"/>
    <x v="6"/>
    <x v="2"/>
    <x v="18"/>
    <x v="18"/>
    <x v="3"/>
    <x v="4"/>
    <x v="18"/>
    <x v="1"/>
    <x v="0"/>
    <x v="3"/>
    <x v="18"/>
  </r>
  <r>
    <x v="19"/>
    <x v="19"/>
    <x v="19"/>
    <x v="0"/>
    <x v="0"/>
    <x v="19"/>
    <x v="19"/>
    <x v="4"/>
    <x v="2"/>
    <x v="19"/>
    <x v="6"/>
    <x v="0"/>
    <x v="4"/>
    <x v="19"/>
  </r>
  <r>
    <x v="20"/>
    <x v="20"/>
    <x v="20"/>
    <x v="3"/>
    <x v="0"/>
    <x v="20"/>
    <x v="20"/>
    <x v="4"/>
    <x v="4"/>
    <x v="20"/>
    <x v="6"/>
    <x v="3"/>
    <x v="0"/>
    <x v="20"/>
  </r>
  <r>
    <x v="21"/>
    <x v="21"/>
    <x v="21"/>
    <x v="0"/>
    <x v="3"/>
    <x v="21"/>
    <x v="21"/>
    <x v="4"/>
    <x v="3"/>
    <x v="21"/>
    <x v="5"/>
    <x v="2"/>
    <x v="4"/>
    <x v="21"/>
  </r>
  <r>
    <x v="22"/>
    <x v="22"/>
    <x v="22"/>
    <x v="0"/>
    <x v="1"/>
    <x v="22"/>
    <x v="22"/>
    <x v="1"/>
    <x v="4"/>
    <x v="22"/>
    <x v="7"/>
    <x v="0"/>
    <x v="4"/>
    <x v="22"/>
  </r>
  <r>
    <x v="23"/>
    <x v="23"/>
    <x v="23"/>
    <x v="1"/>
    <x v="3"/>
    <x v="23"/>
    <x v="23"/>
    <x v="0"/>
    <x v="1"/>
    <x v="23"/>
    <x v="3"/>
    <x v="1"/>
    <x v="1"/>
    <x v="23"/>
  </r>
  <r>
    <x v="24"/>
    <x v="24"/>
    <x v="24"/>
    <x v="5"/>
    <x v="1"/>
    <x v="24"/>
    <x v="24"/>
    <x v="1"/>
    <x v="3"/>
    <x v="24"/>
    <x v="1"/>
    <x v="3"/>
    <x v="1"/>
    <x v="24"/>
  </r>
  <r>
    <x v="25"/>
    <x v="25"/>
    <x v="25"/>
    <x v="0"/>
    <x v="2"/>
    <x v="25"/>
    <x v="25"/>
    <x v="0"/>
    <x v="3"/>
    <x v="25"/>
    <x v="1"/>
    <x v="3"/>
    <x v="2"/>
    <x v="25"/>
  </r>
  <r>
    <x v="26"/>
    <x v="26"/>
    <x v="26"/>
    <x v="5"/>
    <x v="0"/>
    <x v="26"/>
    <x v="26"/>
    <x v="1"/>
    <x v="3"/>
    <x v="26"/>
    <x v="5"/>
    <x v="2"/>
    <x v="1"/>
    <x v="26"/>
  </r>
  <r>
    <x v="27"/>
    <x v="27"/>
    <x v="27"/>
    <x v="4"/>
    <x v="2"/>
    <x v="27"/>
    <x v="27"/>
    <x v="1"/>
    <x v="0"/>
    <x v="27"/>
    <x v="5"/>
    <x v="3"/>
    <x v="4"/>
    <x v="27"/>
  </r>
  <r>
    <x v="28"/>
    <x v="9"/>
    <x v="28"/>
    <x v="1"/>
    <x v="3"/>
    <x v="28"/>
    <x v="28"/>
    <x v="1"/>
    <x v="4"/>
    <x v="28"/>
    <x v="3"/>
    <x v="2"/>
    <x v="2"/>
    <x v="28"/>
  </r>
  <r>
    <x v="29"/>
    <x v="28"/>
    <x v="29"/>
    <x v="6"/>
    <x v="4"/>
    <x v="29"/>
    <x v="29"/>
    <x v="2"/>
    <x v="3"/>
    <x v="29"/>
    <x v="5"/>
    <x v="0"/>
    <x v="1"/>
    <x v="29"/>
  </r>
  <r>
    <x v="30"/>
    <x v="29"/>
    <x v="30"/>
    <x v="0"/>
    <x v="1"/>
    <x v="30"/>
    <x v="30"/>
    <x v="1"/>
    <x v="4"/>
    <x v="30"/>
    <x v="3"/>
    <x v="0"/>
    <x v="1"/>
    <x v="30"/>
  </r>
  <r>
    <x v="31"/>
    <x v="30"/>
    <x v="31"/>
    <x v="3"/>
    <x v="4"/>
    <x v="31"/>
    <x v="31"/>
    <x v="0"/>
    <x v="2"/>
    <x v="31"/>
    <x v="5"/>
    <x v="2"/>
    <x v="3"/>
    <x v="31"/>
  </r>
  <r>
    <x v="32"/>
    <x v="31"/>
    <x v="32"/>
    <x v="2"/>
    <x v="0"/>
    <x v="32"/>
    <x v="32"/>
    <x v="4"/>
    <x v="3"/>
    <x v="32"/>
    <x v="8"/>
    <x v="2"/>
    <x v="2"/>
    <x v="32"/>
  </r>
  <r>
    <x v="33"/>
    <x v="32"/>
    <x v="33"/>
    <x v="3"/>
    <x v="2"/>
    <x v="33"/>
    <x v="33"/>
    <x v="1"/>
    <x v="1"/>
    <x v="33"/>
    <x v="4"/>
    <x v="3"/>
    <x v="3"/>
    <x v="33"/>
  </r>
  <r>
    <x v="34"/>
    <x v="33"/>
    <x v="34"/>
    <x v="3"/>
    <x v="3"/>
    <x v="34"/>
    <x v="34"/>
    <x v="2"/>
    <x v="4"/>
    <x v="34"/>
    <x v="3"/>
    <x v="3"/>
    <x v="3"/>
    <x v="34"/>
  </r>
  <r>
    <x v="35"/>
    <x v="34"/>
    <x v="35"/>
    <x v="0"/>
    <x v="1"/>
    <x v="35"/>
    <x v="35"/>
    <x v="1"/>
    <x v="0"/>
    <x v="35"/>
    <x v="7"/>
    <x v="0"/>
    <x v="3"/>
    <x v="35"/>
  </r>
  <r>
    <x v="36"/>
    <x v="4"/>
    <x v="36"/>
    <x v="5"/>
    <x v="1"/>
    <x v="36"/>
    <x v="36"/>
    <x v="0"/>
    <x v="4"/>
    <x v="36"/>
    <x v="3"/>
    <x v="2"/>
    <x v="3"/>
    <x v="36"/>
  </r>
  <r>
    <x v="37"/>
    <x v="35"/>
    <x v="37"/>
    <x v="5"/>
    <x v="1"/>
    <x v="37"/>
    <x v="37"/>
    <x v="4"/>
    <x v="2"/>
    <x v="37"/>
    <x v="0"/>
    <x v="0"/>
    <x v="0"/>
    <x v="37"/>
  </r>
  <r>
    <x v="38"/>
    <x v="36"/>
    <x v="38"/>
    <x v="5"/>
    <x v="2"/>
    <x v="38"/>
    <x v="38"/>
    <x v="0"/>
    <x v="3"/>
    <x v="38"/>
    <x v="1"/>
    <x v="0"/>
    <x v="4"/>
    <x v="38"/>
  </r>
  <r>
    <x v="39"/>
    <x v="37"/>
    <x v="39"/>
    <x v="4"/>
    <x v="4"/>
    <x v="39"/>
    <x v="39"/>
    <x v="2"/>
    <x v="3"/>
    <x v="39"/>
    <x v="4"/>
    <x v="0"/>
    <x v="1"/>
    <x v="39"/>
  </r>
  <r>
    <x v="40"/>
    <x v="38"/>
    <x v="40"/>
    <x v="6"/>
    <x v="1"/>
    <x v="40"/>
    <x v="40"/>
    <x v="1"/>
    <x v="3"/>
    <x v="40"/>
    <x v="4"/>
    <x v="1"/>
    <x v="0"/>
    <x v="40"/>
  </r>
  <r>
    <x v="41"/>
    <x v="39"/>
    <x v="41"/>
    <x v="0"/>
    <x v="4"/>
    <x v="41"/>
    <x v="41"/>
    <x v="3"/>
    <x v="4"/>
    <x v="41"/>
    <x v="4"/>
    <x v="1"/>
    <x v="0"/>
    <x v="41"/>
  </r>
  <r>
    <x v="42"/>
    <x v="40"/>
    <x v="42"/>
    <x v="4"/>
    <x v="1"/>
    <x v="42"/>
    <x v="14"/>
    <x v="4"/>
    <x v="1"/>
    <x v="42"/>
    <x v="5"/>
    <x v="2"/>
    <x v="0"/>
    <x v="42"/>
  </r>
  <r>
    <x v="43"/>
    <x v="41"/>
    <x v="43"/>
    <x v="3"/>
    <x v="4"/>
    <x v="43"/>
    <x v="42"/>
    <x v="1"/>
    <x v="1"/>
    <x v="43"/>
    <x v="2"/>
    <x v="2"/>
    <x v="0"/>
    <x v="43"/>
  </r>
  <r>
    <x v="44"/>
    <x v="42"/>
    <x v="44"/>
    <x v="1"/>
    <x v="1"/>
    <x v="44"/>
    <x v="31"/>
    <x v="3"/>
    <x v="2"/>
    <x v="44"/>
    <x v="1"/>
    <x v="1"/>
    <x v="1"/>
    <x v="44"/>
  </r>
  <r>
    <x v="45"/>
    <x v="43"/>
    <x v="45"/>
    <x v="3"/>
    <x v="2"/>
    <x v="45"/>
    <x v="43"/>
    <x v="0"/>
    <x v="2"/>
    <x v="45"/>
    <x v="9"/>
    <x v="0"/>
    <x v="3"/>
    <x v="45"/>
  </r>
  <r>
    <x v="46"/>
    <x v="44"/>
    <x v="46"/>
    <x v="0"/>
    <x v="3"/>
    <x v="46"/>
    <x v="44"/>
    <x v="0"/>
    <x v="4"/>
    <x v="46"/>
    <x v="4"/>
    <x v="1"/>
    <x v="0"/>
    <x v="46"/>
  </r>
  <r>
    <x v="47"/>
    <x v="45"/>
    <x v="47"/>
    <x v="6"/>
    <x v="1"/>
    <x v="47"/>
    <x v="45"/>
    <x v="2"/>
    <x v="2"/>
    <x v="47"/>
    <x v="1"/>
    <x v="1"/>
    <x v="2"/>
    <x v="47"/>
  </r>
  <r>
    <x v="48"/>
    <x v="46"/>
    <x v="48"/>
    <x v="0"/>
    <x v="1"/>
    <x v="48"/>
    <x v="46"/>
    <x v="0"/>
    <x v="0"/>
    <x v="48"/>
    <x v="4"/>
    <x v="2"/>
    <x v="4"/>
    <x v="48"/>
  </r>
  <r>
    <x v="49"/>
    <x v="47"/>
    <x v="49"/>
    <x v="4"/>
    <x v="2"/>
    <x v="49"/>
    <x v="22"/>
    <x v="2"/>
    <x v="0"/>
    <x v="49"/>
    <x v="9"/>
    <x v="0"/>
    <x v="2"/>
    <x v="49"/>
  </r>
  <r>
    <x v="50"/>
    <x v="48"/>
    <x v="50"/>
    <x v="2"/>
    <x v="2"/>
    <x v="50"/>
    <x v="47"/>
    <x v="1"/>
    <x v="1"/>
    <x v="50"/>
    <x v="5"/>
    <x v="1"/>
    <x v="0"/>
    <x v="50"/>
  </r>
  <r>
    <x v="51"/>
    <x v="49"/>
    <x v="51"/>
    <x v="2"/>
    <x v="2"/>
    <x v="51"/>
    <x v="48"/>
    <x v="4"/>
    <x v="2"/>
    <x v="51"/>
    <x v="7"/>
    <x v="0"/>
    <x v="3"/>
    <x v="51"/>
  </r>
  <r>
    <x v="52"/>
    <x v="50"/>
    <x v="52"/>
    <x v="2"/>
    <x v="2"/>
    <x v="52"/>
    <x v="49"/>
    <x v="1"/>
    <x v="2"/>
    <x v="52"/>
    <x v="3"/>
    <x v="0"/>
    <x v="3"/>
    <x v="52"/>
  </r>
  <r>
    <x v="53"/>
    <x v="51"/>
    <x v="53"/>
    <x v="1"/>
    <x v="3"/>
    <x v="53"/>
    <x v="2"/>
    <x v="1"/>
    <x v="2"/>
    <x v="53"/>
    <x v="3"/>
    <x v="1"/>
    <x v="4"/>
    <x v="53"/>
  </r>
  <r>
    <x v="54"/>
    <x v="52"/>
    <x v="54"/>
    <x v="3"/>
    <x v="2"/>
    <x v="54"/>
    <x v="50"/>
    <x v="1"/>
    <x v="4"/>
    <x v="54"/>
    <x v="3"/>
    <x v="3"/>
    <x v="2"/>
    <x v="54"/>
  </r>
  <r>
    <x v="55"/>
    <x v="53"/>
    <x v="55"/>
    <x v="4"/>
    <x v="4"/>
    <x v="55"/>
    <x v="51"/>
    <x v="1"/>
    <x v="1"/>
    <x v="55"/>
    <x v="1"/>
    <x v="2"/>
    <x v="3"/>
    <x v="55"/>
  </r>
  <r>
    <x v="56"/>
    <x v="54"/>
    <x v="56"/>
    <x v="2"/>
    <x v="4"/>
    <x v="56"/>
    <x v="52"/>
    <x v="4"/>
    <x v="1"/>
    <x v="56"/>
    <x v="3"/>
    <x v="3"/>
    <x v="1"/>
    <x v="56"/>
  </r>
  <r>
    <x v="57"/>
    <x v="55"/>
    <x v="57"/>
    <x v="4"/>
    <x v="0"/>
    <x v="57"/>
    <x v="53"/>
    <x v="4"/>
    <x v="2"/>
    <x v="57"/>
    <x v="5"/>
    <x v="0"/>
    <x v="0"/>
    <x v="57"/>
  </r>
  <r>
    <x v="58"/>
    <x v="56"/>
    <x v="58"/>
    <x v="1"/>
    <x v="3"/>
    <x v="58"/>
    <x v="54"/>
    <x v="3"/>
    <x v="1"/>
    <x v="58"/>
    <x v="5"/>
    <x v="0"/>
    <x v="4"/>
    <x v="58"/>
  </r>
  <r>
    <x v="59"/>
    <x v="57"/>
    <x v="59"/>
    <x v="3"/>
    <x v="3"/>
    <x v="59"/>
    <x v="55"/>
    <x v="1"/>
    <x v="0"/>
    <x v="59"/>
    <x v="3"/>
    <x v="2"/>
    <x v="3"/>
    <x v="59"/>
  </r>
  <r>
    <x v="60"/>
    <x v="58"/>
    <x v="60"/>
    <x v="6"/>
    <x v="2"/>
    <x v="60"/>
    <x v="56"/>
    <x v="0"/>
    <x v="2"/>
    <x v="60"/>
    <x v="1"/>
    <x v="1"/>
    <x v="1"/>
    <x v="60"/>
  </r>
  <r>
    <x v="61"/>
    <x v="59"/>
    <x v="61"/>
    <x v="6"/>
    <x v="3"/>
    <x v="61"/>
    <x v="57"/>
    <x v="4"/>
    <x v="3"/>
    <x v="61"/>
    <x v="0"/>
    <x v="1"/>
    <x v="3"/>
    <x v="61"/>
  </r>
  <r>
    <x v="62"/>
    <x v="60"/>
    <x v="62"/>
    <x v="6"/>
    <x v="1"/>
    <x v="62"/>
    <x v="58"/>
    <x v="0"/>
    <x v="4"/>
    <x v="62"/>
    <x v="1"/>
    <x v="3"/>
    <x v="2"/>
    <x v="62"/>
  </r>
  <r>
    <x v="63"/>
    <x v="61"/>
    <x v="63"/>
    <x v="3"/>
    <x v="2"/>
    <x v="63"/>
    <x v="59"/>
    <x v="0"/>
    <x v="0"/>
    <x v="63"/>
    <x v="5"/>
    <x v="3"/>
    <x v="1"/>
    <x v="63"/>
  </r>
  <r>
    <x v="64"/>
    <x v="62"/>
    <x v="64"/>
    <x v="4"/>
    <x v="4"/>
    <x v="64"/>
    <x v="60"/>
    <x v="0"/>
    <x v="1"/>
    <x v="64"/>
    <x v="4"/>
    <x v="1"/>
    <x v="3"/>
    <x v="64"/>
  </r>
  <r>
    <x v="65"/>
    <x v="63"/>
    <x v="65"/>
    <x v="0"/>
    <x v="0"/>
    <x v="65"/>
    <x v="61"/>
    <x v="2"/>
    <x v="3"/>
    <x v="65"/>
    <x v="5"/>
    <x v="2"/>
    <x v="0"/>
    <x v="65"/>
  </r>
  <r>
    <x v="66"/>
    <x v="64"/>
    <x v="66"/>
    <x v="3"/>
    <x v="0"/>
    <x v="66"/>
    <x v="62"/>
    <x v="4"/>
    <x v="1"/>
    <x v="66"/>
    <x v="6"/>
    <x v="0"/>
    <x v="1"/>
    <x v="66"/>
  </r>
  <r>
    <x v="67"/>
    <x v="65"/>
    <x v="67"/>
    <x v="4"/>
    <x v="3"/>
    <x v="67"/>
    <x v="63"/>
    <x v="0"/>
    <x v="1"/>
    <x v="67"/>
    <x v="2"/>
    <x v="2"/>
    <x v="4"/>
    <x v="67"/>
  </r>
  <r>
    <x v="68"/>
    <x v="66"/>
    <x v="68"/>
    <x v="3"/>
    <x v="4"/>
    <x v="68"/>
    <x v="25"/>
    <x v="2"/>
    <x v="4"/>
    <x v="68"/>
    <x v="3"/>
    <x v="1"/>
    <x v="2"/>
    <x v="68"/>
  </r>
  <r>
    <x v="69"/>
    <x v="67"/>
    <x v="69"/>
    <x v="0"/>
    <x v="4"/>
    <x v="69"/>
    <x v="64"/>
    <x v="1"/>
    <x v="0"/>
    <x v="69"/>
    <x v="4"/>
    <x v="2"/>
    <x v="1"/>
    <x v="69"/>
  </r>
  <r>
    <x v="70"/>
    <x v="68"/>
    <x v="70"/>
    <x v="6"/>
    <x v="2"/>
    <x v="70"/>
    <x v="65"/>
    <x v="3"/>
    <x v="4"/>
    <x v="70"/>
    <x v="7"/>
    <x v="1"/>
    <x v="0"/>
    <x v="70"/>
  </r>
  <r>
    <x v="71"/>
    <x v="69"/>
    <x v="71"/>
    <x v="0"/>
    <x v="4"/>
    <x v="71"/>
    <x v="66"/>
    <x v="2"/>
    <x v="4"/>
    <x v="71"/>
    <x v="4"/>
    <x v="2"/>
    <x v="1"/>
    <x v="71"/>
  </r>
  <r>
    <x v="72"/>
    <x v="70"/>
    <x v="72"/>
    <x v="2"/>
    <x v="3"/>
    <x v="72"/>
    <x v="15"/>
    <x v="3"/>
    <x v="2"/>
    <x v="72"/>
    <x v="3"/>
    <x v="2"/>
    <x v="3"/>
    <x v="72"/>
  </r>
  <r>
    <x v="73"/>
    <x v="71"/>
    <x v="73"/>
    <x v="0"/>
    <x v="3"/>
    <x v="73"/>
    <x v="67"/>
    <x v="3"/>
    <x v="1"/>
    <x v="73"/>
    <x v="4"/>
    <x v="2"/>
    <x v="3"/>
    <x v="73"/>
  </r>
  <r>
    <x v="74"/>
    <x v="72"/>
    <x v="74"/>
    <x v="1"/>
    <x v="0"/>
    <x v="74"/>
    <x v="68"/>
    <x v="4"/>
    <x v="4"/>
    <x v="74"/>
    <x v="3"/>
    <x v="2"/>
    <x v="0"/>
    <x v="74"/>
  </r>
  <r>
    <x v="75"/>
    <x v="73"/>
    <x v="75"/>
    <x v="2"/>
    <x v="4"/>
    <x v="75"/>
    <x v="69"/>
    <x v="0"/>
    <x v="3"/>
    <x v="75"/>
    <x v="3"/>
    <x v="0"/>
    <x v="2"/>
    <x v="75"/>
  </r>
  <r>
    <x v="76"/>
    <x v="74"/>
    <x v="76"/>
    <x v="5"/>
    <x v="3"/>
    <x v="76"/>
    <x v="70"/>
    <x v="4"/>
    <x v="1"/>
    <x v="76"/>
    <x v="5"/>
    <x v="3"/>
    <x v="2"/>
    <x v="76"/>
  </r>
  <r>
    <x v="77"/>
    <x v="75"/>
    <x v="77"/>
    <x v="1"/>
    <x v="2"/>
    <x v="77"/>
    <x v="71"/>
    <x v="2"/>
    <x v="2"/>
    <x v="77"/>
    <x v="3"/>
    <x v="2"/>
    <x v="4"/>
    <x v="77"/>
  </r>
  <r>
    <x v="78"/>
    <x v="76"/>
    <x v="78"/>
    <x v="4"/>
    <x v="3"/>
    <x v="78"/>
    <x v="72"/>
    <x v="0"/>
    <x v="3"/>
    <x v="78"/>
    <x v="4"/>
    <x v="1"/>
    <x v="0"/>
    <x v="78"/>
  </r>
  <r>
    <x v="79"/>
    <x v="77"/>
    <x v="79"/>
    <x v="2"/>
    <x v="1"/>
    <x v="79"/>
    <x v="73"/>
    <x v="1"/>
    <x v="0"/>
    <x v="79"/>
    <x v="7"/>
    <x v="2"/>
    <x v="3"/>
    <x v="79"/>
  </r>
  <r>
    <x v="80"/>
    <x v="78"/>
    <x v="80"/>
    <x v="1"/>
    <x v="4"/>
    <x v="80"/>
    <x v="74"/>
    <x v="1"/>
    <x v="2"/>
    <x v="80"/>
    <x v="5"/>
    <x v="2"/>
    <x v="3"/>
    <x v="80"/>
  </r>
  <r>
    <x v="81"/>
    <x v="79"/>
    <x v="81"/>
    <x v="0"/>
    <x v="1"/>
    <x v="81"/>
    <x v="75"/>
    <x v="4"/>
    <x v="0"/>
    <x v="81"/>
    <x v="5"/>
    <x v="1"/>
    <x v="2"/>
    <x v="81"/>
  </r>
  <r>
    <x v="82"/>
    <x v="80"/>
    <x v="82"/>
    <x v="2"/>
    <x v="3"/>
    <x v="82"/>
    <x v="76"/>
    <x v="0"/>
    <x v="0"/>
    <x v="82"/>
    <x v="6"/>
    <x v="0"/>
    <x v="4"/>
    <x v="82"/>
  </r>
  <r>
    <x v="83"/>
    <x v="60"/>
    <x v="83"/>
    <x v="5"/>
    <x v="3"/>
    <x v="83"/>
    <x v="77"/>
    <x v="2"/>
    <x v="1"/>
    <x v="83"/>
    <x v="5"/>
    <x v="2"/>
    <x v="1"/>
    <x v="83"/>
  </r>
  <r>
    <x v="84"/>
    <x v="81"/>
    <x v="84"/>
    <x v="0"/>
    <x v="1"/>
    <x v="84"/>
    <x v="78"/>
    <x v="1"/>
    <x v="0"/>
    <x v="84"/>
    <x v="4"/>
    <x v="3"/>
    <x v="0"/>
    <x v="84"/>
  </r>
  <r>
    <x v="85"/>
    <x v="82"/>
    <x v="85"/>
    <x v="2"/>
    <x v="4"/>
    <x v="85"/>
    <x v="79"/>
    <x v="4"/>
    <x v="3"/>
    <x v="85"/>
    <x v="2"/>
    <x v="1"/>
    <x v="2"/>
    <x v="85"/>
  </r>
  <r>
    <x v="86"/>
    <x v="83"/>
    <x v="86"/>
    <x v="4"/>
    <x v="0"/>
    <x v="86"/>
    <x v="80"/>
    <x v="1"/>
    <x v="1"/>
    <x v="86"/>
    <x v="3"/>
    <x v="1"/>
    <x v="1"/>
    <x v="86"/>
  </r>
  <r>
    <x v="87"/>
    <x v="84"/>
    <x v="87"/>
    <x v="2"/>
    <x v="4"/>
    <x v="87"/>
    <x v="81"/>
    <x v="4"/>
    <x v="0"/>
    <x v="87"/>
    <x v="4"/>
    <x v="0"/>
    <x v="3"/>
    <x v="87"/>
  </r>
  <r>
    <x v="88"/>
    <x v="85"/>
    <x v="88"/>
    <x v="6"/>
    <x v="4"/>
    <x v="88"/>
    <x v="82"/>
    <x v="3"/>
    <x v="1"/>
    <x v="88"/>
    <x v="0"/>
    <x v="2"/>
    <x v="4"/>
    <x v="88"/>
  </r>
  <r>
    <x v="89"/>
    <x v="86"/>
    <x v="89"/>
    <x v="4"/>
    <x v="0"/>
    <x v="89"/>
    <x v="83"/>
    <x v="2"/>
    <x v="1"/>
    <x v="89"/>
    <x v="2"/>
    <x v="1"/>
    <x v="4"/>
    <x v="89"/>
  </r>
  <r>
    <x v="90"/>
    <x v="87"/>
    <x v="90"/>
    <x v="3"/>
    <x v="3"/>
    <x v="90"/>
    <x v="84"/>
    <x v="3"/>
    <x v="3"/>
    <x v="90"/>
    <x v="4"/>
    <x v="0"/>
    <x v="2"/>
    <x v="90"/>
  </r>
  <r>
    <x v="91"/>
    <x v="88"/>
    <x v="91"/>
    <x v="5"/>
    <x v="0"/>
    <x v="91"/>
    <x v="85"/>
    <x v="4"/>
    <x v="0"/>
    <x v="91"/>
    <x v="5"/>
    <x v="3"/>
    <x v="1"/>
    <x v="91"/>
  </r>
  <r>
    <x v="92"/>
    <x v="89"/>
    <x v="92"/>
    <x v="4"/>
    <x v="3"/>
    <x v="92"/>
    <x v="86"/>
    <x v="1"/>
    <x v="0"/>
    <x v="92"/>
    <x v="0"/>
    <x v="1"/>
    <x v="3"/>
    <x v="92"/>
  </r>
  <r>
    <x v="93"/>
    <x v="90"/>
    <x v="93"/>
    <x v="6"/>
    <x v="3"/>
    <x v="93"/>
    <x v="87"/>
    <x v="2"/>
    <x v="2"/>
    <x v="93"/>
    <x v="0"/>
    <x v="2"/>
    <x v="1"/>
    <x v="93"/>
  </r>
  <r>
    <x v="94"/>
    <x v="91"/>
    <x v="94"/>
    <x v="3"/>
    <x v="2"/>
    <x v="94"/>
    <x v="88"/>
    <x v="3"/>
    <x v="2"/>
    <x v="94"/>
    <x v="5"/>
    <x v="3"/>
    <x v="0"/>
    <x v="94"/>
  </r>
  <r>
    <x v="95"/>
    <x v="92"/>
    <x v="95"/>
    <x v="4"/>
    <x v="3"/>
    <x v="95"/>
    <x v="89"/>
    <x v="0"/>
    <x v="2"/>
    <x v="95"/>
    <x v="0"/>
    <x v="2"/>
    <x v="1"/>
    <x v="95"/>
  </r>
  <r>
    <x v="96"/>
    <x v="93"/>
    <x v="96"/>
    <x v="1"/>
    <x v="1"/>
    <x v="96"/>
    <x v="73"/>
    <x v="3"/>
    <x v="3"/>
    <x v="96"/>
    <x v="0"/>
    <x v="2"/>
    <x v="0"/>
    <x v="96"/>
  </r>
  <r>
    <x v="97"/>
    <x v="94"/>
    <x v="97"/>
    <x v="2"/>
    <x v="0"/>
    <x v="97"/>
    <x v="90"/>
    <x v="0"/>
    <x v="4"/>
    <x v="97"/>
    <x v="6"/>
    <x v="2"/>
    <x v="2"/>
    <x v="97"/>
  </r>
  <r>
    <x v="98"/>
    <x v="90"/>
    <x v="98"/>
    <x v="4"/>
    <x v="1"/>
    <x v="98"/>
    <x v="91"/>
    <x v="0"/>
    <x v="4"/>
    <x v="98"/>
    <x v="1"/>
    <x v="2"/>
    <x v="2"/>
    <x v="98"/>
  </r>
  <r>
    <x v="99"/>
    <x v="95"/>
    <x v="99"/>
    <x v="4"/>
    <x v="2"/>
    <x v="99"/>
    <x v="92"/>
    <x v="0"/>
    <x v="1"/>
    <x v="99"/>
    <x v="7"/>
    <x v="3"/>
    <x v="2"/>
    <x v="99"/>
  </r>
  <r>
    <x v="100"/>
    <x v="96"/>
    <x v="100"/>
    <x v="1"/>
    <x v="4"/>
    <x v="100"/>
    <x v="93"/>
    <x v="1"/>
    <x v="3"/>
    <x v="100"/>
    <x v="5"/>
    <x v="2"/>
    <x v="3"/>
    <x v="100"/>
  </r>
  <r>
    <x v="101"/>
    <x v="97"/>
    <x v="101"/>
    <x v="4"/>
    <x v="2"/>
    <x v="101"/>
    <x v="94"/>
    <x v="4"/>
    <x v="0"/>
    <x v="101"/>
    <x v="5"/>
    <x v="2"/>
    <x v="4"/>
    <x v="101"/>
  </r>
  <r>
    <x v="102"/>
    <x v="98"/>
    <x v="102"/>
    <x v="5"/>
    <x v="1"/>
    <x v="102"/>
    <x v="95"/>
    <x v="3"/>
    <x v="1"/>
    <x v="102"/>
    <x v="1"/>
    <x v="1"/>
    <x v="2"/>
    <x v="102"/>
  </r>
  <r>
    <x v="103"/>
    <x v="99"/>
    <x v="103"/>
    <x v="1"/>
    <x v="3"/>
    <x v="103"/>
    <x v="96"/>
    <x v="2"/>
    <x v="1"/>
    <x v="103"/>
    <x v="6"/>
    <x v="0"/>
    <x v="2"/>
    <x v="103"/>
  </r>
  <r>
    <x v="104"/>
    <x v="100"/>
    <x v="104"/>
    <x v="1"/>
    <x v="2"/>
    <x v="104"/>
    <x v="97"/>
    <x v="3"/>
    <x v="3"/>
    <x v="104"/>
    <x v="9"/>
    <x v="1"/>
    <x v="2"/>
    <x v="104"/>
  </r>
  <r>
    <x v="105"/>
    <x v="101"/>
    <x v="105"/>
    <x v="4"/>
    <x v="4"/>
    <x v="105"/>
    <x v="98"/>
    <x v="3"/>
    <x v="1"/>
    <x v="105"/>
    <x v="0"/>
    <x v="2"/>
    <x v="3"/>
    <x v="105"/>
  </r>
  <r>
    <x v="106"/>
    <x v="102"/>
    <x v="106"/>
    <x v="6"/>
    <x v="4"/>
    <x v="106"/>
    <x v="99"/>
    <x v="2"/>
    <x v="1"/>
    <x v="106"/>
    <x v="1"/>
    <x v="0"/>
    <x v="2"/>
    <x v="106"/>
  </r>
  <r>
    <x v="107"/>
    <x v="14"/>
    <x v="107"/>
    <x v="4"/>
    <x v="0"/>
    <x v="107"/>
    <x v="100"/>
    <x v="3"/>
    <x v="0"/>
    <x v="107"/>
    <x v="2"/>
    <x v="1"/>
    <x v="0"/>
    <x v="107"/>
  </r>
  <r>
    <x v="108"/>
    <x v="103"/>
    <x v="108"/>
    <x v="5"/>
    <x v="0"/>
    <x v="108"/>
    <x v="101"/>
    <x v="3"/>
    <x v="3"/>
    <x v="108"/>
    <x v="6"/>
    <x v="3"/>
    <x v="2"/>
    <x v="108"/>
  </r>
  <r>
    <x v="109"/>
    <x v="104"/>
    <x v="109"/>
    <x v="6"/>
    <x v="4"/>
    <x v="109"/>
    <x v="102"/>
    <x v="3"/>
    <x v="0"/>
    <x v="109"/>
    <x v="1"/>
    <x v="1"/>
    <x v="1"/>
    <x v="109"/>
  </r>
  <r>
    <x v="110"/>
    <x v="105"/>
    <x v="110"/>
    <x v="2"/>
    <x v="2"/>
    <x v="110"/>
    <x v="103"/>
    <x v="3"/>
    <x v="4"/>
    <x v="110"/>
    <x v="3"/>
    <x v="1"/>
    <x v="0"/>
    <x v="110"/>
  </r>
  <r>
    <x v="111"/>
    <x v="106"/>
    <x v="111"/>
    <x v="6"/>
    <x v="4"/>
    <x v="111"/>
    <x v="104"/>
    <x v="1"/>
    <x v="1"/>
    <x v="111"/>
    <x v="0"/>
    <x v="1"/>
    <x v="4"/>
    <x v="111"/>
  </r>
  <r>
    <x v="112"/>
    <x v="107"/>
    <x v="112"/>
    <x v="0"/>
    <x v="2"/>
    <x v="112"/>
    <x v="105"/>
    <x v="1"/>
    <x v="1"/>
    <x v="112"/>
    <x v="7"/>
    <x v="3"/>
    <x v="1"/>
    <x v="112"/>
  </r>
  <r>
    <x v="113"/>
    <x v="108"/>
    <x v="113"/>
    <x v="5"/>
    <x v="0"/>
    <x v="113"/>
    <x v="106"/>
    <x v="4"/>
    <x v="0"/>
    <x v="113"/>
    <x v="6"/>
    <x v="1"/>
    <x v="0"/>
    <x v="113"/>
  </r>
  <r>
    <x v="114"/>
    <x v="109"/>
    <x v="114"/>
    <x v="0"/>
    <x v="0"/>
    <x v="114"/>
    <x v="107"/>
    <x v="1"/>
    <x v="4"/>
    <x v="114"/>
    <x v="2"/>
    <x v="0"/>
    <x v="4"/>
    <x v="114"/>
  </r>
  <r>
    <x v="115"/>
    <x v="110"/>
    <x v="115"/>
    <x v="1"/>
    <x v="0"/>
    <x v="115"/>
    <x v="108"/>
    <x v="1"/>
    <x v="0"/>
    <x v="115"/>
    <x v="6"/>
    <x v="0"/>
    <x v="3"/>
    <x v="115"/>
  </r>
  <r>
    <x v="116"/>
    <x v="111"/>
    <x v="116"/>
    <x v="4"/>
    <x v="3"/>
    <x v="116"/>
    <x v="109"/>
    <x v="2"/>
    <x v="1"/>
    <x v="116"/>
    <x v="5"/>
    <x v="3"/>
    <x v="3"/>
    <x v="116"/>
  </r>
  <r>
    <x v="117"/>
    <x v="98"/>
    <x v="117"/>
    <x v="2"/>
    <x v="2"/>
    <x v="117"/>
    <x v="110"/>
    <x v="3"/>
    <x v="1"/>
    <x v="117"/>
    <x v="3"/>
    <x v="3"/>
    <x v="1"/>
    <x v="117"/>
  </r>
  <r>
    <x v="118"/>
    <x v="112"/>
    <x v="118"/>
    <x v="4"/>
    <x v="0"/>
    <x v="118"/>
    <x v="111"/>
    <x v="3"/>
    <x v="0"/>
    <x v="118"/>
    <x v="0"/>
    <x v="1"/>
    <x v="4"/>
    <x v="118"/>
  </r>
  <r>
    <x v="119"/>
    <x v="113"/>
    <x v="119"/>
    <x v="6"/>
    <x v="1"/>
    <x v="119"/>
    <x v="112"/>
    <x v="0"/>
    <x v="0"/>
    <x v="119"/>
    <x v="0"/>
    <x v="1"/>
    <x v="1"/>
    <x v="119"/>
  </r>
  <r>
    <x v="120"/>
    <x v="114"/>
    <x v="120"/>
    <x v="2"/>
    <x v="3"/>
    <x v="120"/>
    <x v="6"/>
    <x v="4"/>
    <x v="1"/>
    <x v="120"/>
    <x v="4"/>
    <x v="3"/>
    <x v="0"/>
    <x v="120"/>
  </r>
  <r>
    <x v="121"/>
    <x v="115"/>
    <x v="121"/>
    <x v="6"/>
    <x v="2"/>
    <x v="121"/>
    <x v="113"/>
    <x v="4"/>
    <x v="1"/>
    <x v="121"/>
    <x v="9"/>
    <x v="1"/>
    <x v="0"/>
    <x v="121"/>
  </r>
  <r>
    <x v="122"/>
    <x v="116"/>
    <x v="122"/>
    <x v="5"/>
    <x v="1"/>
    <x v="122"/>
    <x v="114"/>
    <x v="3"/>
    <x v="0"/>
    <x v="122"/>
    <x v="7"/>
    <x v="2"/>
    <x v="3"/>
    <x v="122"/>
  </r>
  <r>
    <x v="123"/>
    <x v="117"/>
    <x v="123"/>
    <x v="6"/>
    <x v="4"/>
    <x v="123"/>
    <x v="115"/>
    <x v="1"/>
    <x v="3"/>
    <x v="123"/>
    <x v="3"/>
    <x v="2"/>
    <x v="0"/>
    <x v="123"/>
  </r>
  <r>
    <x v="124"/>
    <x v="118"/>
    <x v="124"/>
    <x v="4"/>
    <x v="3"/>
    <x v="124"/>
    <x v="116"/>
    <x v="1"/>
    <x v="4"/>
    <x v="124"/>
    <x v="2"/>
    <x v="2"/>
    <x v="4"/>
    <x v="124"/>
  </r>
  <r>
    <x v="125"/>
    <x v="119"/>
    <x v="125"/>
    <x v="1"/>
    <x v="1"/>
    <x v="125"/>
    <x v="117"/>
    <x v="2"/>
    <x v="0"/>
    <x v="125"/>
    <x v="3"/>
    <x v="0"/>
    <x v="2"/>
    <x v="125"/>
  </r>
  <r>
    <x v="126"/>
    <x v="120"/>
    <x v="126"/>
    <x v="6"/>
    <x v="3"/>
    <x v="126"/>
    <x v="118"/>
    <x v="3"/>
    <x v="0"/>
    <x v="126"/>
    <x v="2"/>
    <x v="1"/>
    <x v="4"/>
    <x v="126"/>
  </r>
  <r>
    <x v="127"/>
    <x v="121"/>
    <x v="127"/>
    <x v="6"/>
    <x v="4"/>
    <x v="127"/>
    <x v="119"/>
    <x v="0"/>
    <x v="0"/>
    <x v="127"/>
    <x v="1"/>
    <x v="2"/>
    <x v="4"/>
    <x v="127"/>
  </r>
  <r>
    <x v="128"/>
    <x v="96"/>
    <x v="128"/>
    <x v="2"/>
    <x v="3"/>
    <x v="128"/>
    <x v="120"/>
    <x v="3"/>
    <x v="3"/>
    <x v="128"/>
    <x v="4"/>
    <x v="1"/>
    <x v="4"/>
    <x v="128"/>
  </r>
  <r>
    <x v="129"/>
    <x v="122"/>
    <x v="129"/>
    <x v="5"/>
    <x v="3"/>
    <x v="129"/>
    <x v="121"/>
    <x v="0"/>
    <x v="0"/>
    <x v="129"/>
    <x v="4"/>
    <x v="1"/>
    <x v="3"/>
    <x v="129"/>
  </r>
  <r>
    <x v="130"/>
    <x v="123"/>
    <x v="130"/>
    <x v="6"/>
    <x v="4"/>
    <x v="130"/>
    <x v="122"/>
    <x v="1"/>
    <x v="1"/>
    <x v="130"/>
    <x v="1"/>
    <x v="3"/>
    <x v="3"/>
    <x v="130"/>
  </r>
  <r>
    <x v="131"/>
    <x v="124"/>
    <x v="131"/>
    <x v="2"/>
    <x v="2"/>
    <x v="131"/>
    <x v="123"/>
    <x v="3"/>
    <x v="4"/>
    <x v="131"/>
    <x v="3"/>
    <x v="2"/>
    <x v="0"/>
    <x v="131"/>
  </r>
  <r>
    <x v="132"/>
    <x v="125"/>
    <x v="132"/>
    <x v="2"/>
    <x v="3"/>
    <x v="132"/>
    <x v="124"/>
    <x v="2"/>
    <x v="0"/>
    <x v="132"/>
    <x v="5"/>
    <x v="3"/>
    <x v="2"/>
    <x v="132"/>
  </r>
  <r>
    <x v="133"/>
    <x v="126"/>
    <x v="133"/>
    <x v="3"/>
    <x v="3"/>
    <x v="133"/>
    <x v="125"/>
    <x v="0"/>
    <x v="1"/>
    <x v="133"/>
    <x v="5"/>
    <x v="0"/>
    <x v="4"/>
    <x v="133"/>
  </r>
  <r>
    <x v="134"/>
    <x v="127"/>
    <x v="134"/>
    <x v="5"/>
    <x v="1"/>
    <x v="134"/>
    <x v="124"/>
    <x v="4"/>
    <x v="4"/>
    <x v="134"/>
    <x v="4"/>
    <x v="2"/>
    <x v="2"/>
    <x v="134"/>
  </r>
  <r>
    <x v="135"/>
    <x v="128"/>
    <x v="135"/>
    <x v="4"/>
    <x v="1"/>
    <x v="135"/>
    <x v="126"/>
    <x v="3"/>
    <x v="0"/>
    <x v="135"/>
    <x v="3"/>
    <x v="0"/>
    <x v="1"/>
    <x v="135"/>
  </r>
  <r>
    <x v="136"/>
    <x v="129"/>
    <x v="136"/>
    <x v="5"/>
    <x v="2"/>
    <x v="136"/>
    <x v="127"/>
    <x v="3"/>
    <x v="1"/>
    <x v="136"/>
    <x v="9"/>
    <x v="0"/>
    <x v="0"/>
    <x v="136"/>
  </r>
  <r>
    <x v="137"/>
    <x v="130"/>
    <x v="137"/>
    <x v="0"/>
    <x v="1"/>
    <x v="137"/>
    <x v="128"/>
    <x v="2"/>
    <x v="3"/>
    <x v="137"/>
    <x v="3"/>
    <x v="2"/>
    <x v="4"/>
    <x v="137"/>
  </r>
  <r>
    <x v="138"/>
    <x v="131"/>
    <x v="138"/>
    <x v="2"/>
    <x v="2"/>
    <x v="138"/>
    <x v="129"/>
    <x v="0"/>
    <x v="4"/>
    <x v="138"/>
    <x v="1"/>
    <x v="3"/>
    <x v="4"/>
    <x v="138"/>
  </r>
  <r>
    <x v="139"/>
    <x v="132"/>
    <x v="139"/>
    <x v="1"/>
    <x v="2"/>
    <x v="139"/>
    <x v="130"/>
    <x v="4"/>
    <x v="2"/>
    <x v="139"/>
    <x v="9"/>
    <x v="2"/>
    <x v="2"/>
    <x v="139"/>
  </r>
  <r>
    <x v="140"/>
    <x v="133"/>
    <x v="140"/>
    <x v="3"/>
    <x v="4"/>
    <x v="140"/>
    <x v="103"/>
    <x v="1"/>
    <x v="3"/>
    <x v="140"/>
    <x v="1"/>
    <x v="1"/>
    <x v="2"/>
    <x v="140"/>
  </r>
  <r>
    <x v="141"/>
    <x v="134"/>
    <x v="141"/>
    <x v="4"/>
    <x v="4"/>
    <x v="141"/>
    <x v="131"/>
    <x v="4"/>
    <x v="1"/>
    <x v="141"/>
    <x v="1"/>
    <x v="3"/>
    <x v="0"/>
    <x v="141"/>
  </r>
  <r>
    <x v="142"/>
    <x v="135"/>
    <x v="142"/>
    <x v="6"/>
    <x v="0"/>
    <x v="142"/>
    <x v="132"/>
    <x v="4"/>
    <x v="4"/>
    <x v="142"/>
    <x v="0"/>
    <x v="3"/>
    <x v="2"/>
    <x v="142"/>
  </r>
  <r>
    <x v="143"/>
    <x v="136"/>
    <x v="143"/>
    <x v="3"/>
    <x v="3"/>
    <x v="143"/>
    <x v="133"/>
    <x v="1"/>
    <x v="0"/>
    <x v="143"/>
    <x v="3"/>
    <x v="2"/>
    <x v="1"/>
    <x v="143"/>
  </r>
  <r>
    <x v="144"/>
    <x v="128"/>
    <x v="144"/>
    <x v="6"/>
    <x v="0"/>
    <x v="144"/>
    <x v="30"/>
    <x v="2"/>
    <x v="4"/>
    <x v="144"/>
    <x v="2"/>
    <x v="2"/>
    <x v="3"/>
    <x v="144"/>
  </r>
  <r>
    <x v="145"/>
    <x v="17"/>
    <x v="145"/>
    <x v="4"/>
    <x v="4"/>
    <x v="145"/>
    <x v="134"/>
    <x v="2"/>
    <x v="3"/>
    <x v="145"/>
    <x v="5"/>
    <x v="1"/>
    <x v="4"/>
    <x v="145"/>
  </r>
  <r>
    <x v="146"/>
    <x v="137"/>
    <x v="146"/>
    <x v="2"/>
    <x v="1"/>
    <x v="146"/>
    <x v="135"/>
    <x v="2"/>
    <x v="2"/>
    <x v="146"/>
    <x v="4"/>
    <x v="2"/>
    <x v="0"/>
    <x v="146"/>
  </r>
  <r>
    <x v="147"/>
    <x v="138"/>
    <x v="147"/>
    <x v="5"/>
    <x v="1"/>
    <x v="147"/>
    <x v="136"/>
    <x v="2"/>
    <x v="1"/>
    <x v="147"/>
    <x v="7"/>
    <x v="0"/>
    <x v="4"/>
    <x v="147"/>
  </r>
  <r>
    <x v="148"/>
    <x v="139"/>
    <x v="148"/>
    <x v="1"/>
    <x v="1"/>
    <x v="148"/>
    <x v="137"/>
    <x v="2"/>
    <x v="1"/>
    <x v="148"/>
    <x v="1"/>
    <x v="3"/>
    <x v="4"/>
    <x v="148"/>
  </r>
  <r>
    <x v="149"/>
    <x v="140"/>
    <x v="149"/>
    <x v="5"/>
    <x v="2"/>
    <x v="149"/>
    <x v="138"/>
    <x v="0"/>
    <x v="3"/>
    <x v="149"/>
    <x v="1"/>
    <x v="2"/>
    <x v="3"/>
    <x v="149"/>
  </r>
  <r>
    <x v="150"/>
    <x v="141"/>
    <x v="150"/>
    <x v="1"/>
    <x v="1"/>
    <x v="150"/>
    <x v="139"/>
    <x v="0"/>
    <x v="2"/>
    <x v="150"/>
    <x v="3"/>
    <x v="3"/>
    <x v="4"/>
    <x v="150"/>
  </r>
  <r>
    <x v="151"/>
    <x v="142"/>
    <x v="151"/>
    <x v="4"/>
    <x v="0"/>
    <x v="151"/>
    <x v="140"/>
    <x v="0"/>
    <x v="2"/>
    <x v="151"/>
    <x v="0"/>
    <x v="2"/>
    <x v="2"/>
    <x v="151"/>
  </r>
  <r>
    <x v="152"/>
    <x v="143"/>
    <x v="152"/>
    <x v="3"/>
    <x v="1"/>
    <x v="152"/>
    <x v="141"/>
    <x v="4"/>
    <x v="1"/>
    <x v="152"/>
    <x v="1"/>
    <x v="1"/>
    <x v="1"/>
    <x v="152"/>
  </r>
  <r>
    <x v="153"/>
    <x v="144"/>
    <x v="153"/>
    <x v="3"/>
    <x v="3"/>
    <x v="153"/>
    <x v="142"/>
    <x v="1"/>
    <x v="2"/>
    <x v="153"/>
    <x v="6"/>
    <x v="3"/>
    <x v="0"/>
    <x v="153"/>
  </r>
  <r>
    <x v="154"/>
    <x v="145"/>
    <x v="154"/>
    <x v="1"/>
    <x v="3"/>
    <x v="154"/>
    <x v="115"/>
    <x v="2"/>
    <x v="4"/>
    <x v="154"/>
    <x v="6"/>
    <x v="2"/>
    <x v="0"/>
    <x v="154"/>
  </r>
  <r>
    <x v="155"/>
    <x v="146"/>
    <x v="155"/>
    <x v="1"/>
    <x v="2"/>
    <x v="155"/>
    <x v="47"/>
    <x v="1"/>
    <x v="0"/>
    <x v="155"/>
    <x v="5"/>
    <x v="3"/>
    <x v="1"/>
    <x v="155"/>
  </r>
  <r>
    <x v="156"/>
    <x v="147"/>
    <x v="156"/>
    <x v="3"/>
    <x v="1"/>
    <x v="156"/>
    <x v="143"/>
    <x v="1"/>
    <x v="3"/>
    <x v="156"/>
    <x v="4"/>
    <x v="0"/>
    <x v="2"/>
    <x v="156"/>
  </r>
  <r>
    <x v="157"/>
    <x v="148"/>
    <x v="157"/>
    <x v="0"/>
    <x v="1"/>
    <x v="157"/>
    <x v="125"/>
    <x v="1"/>
    <x v="2"/>
    <x v="157"/>
    <x v="4"/>
    <x v="3"/>
    <x v="3"/>
    <x v="157"/>
  </r>
  <r>
    <x v="158"/>
    <x v="149"/>
    <x v="158"/>
    <x v="2"/>
    <x v="2"/>
    <x v="158"/>
    <x v="144"/>
    <x v="2"/>
    <x v="4"/>
    <x v="158"/>
    <x v="3"/>
    <x v="3"/>
    <x v="0"/>
    <x v="158"/>
  </r>
  <r>
    <x v="159"/>
    <x v="150"/>
    <x v="159"/>
    <x v="4"/>
    <x v="2"/>
    <x v="159"/>
    <x v="145"/>
    <x v="2"/>
    <x v="1"/>
    <x v="159"/>
    <x v="3"/>
    <x v="3"/>
    <x v="2"/>
    <x v="159"/>
  </r>
  <r>
    <x v="160"/>
    <x v="96"/>
    <x v="160"/>
    <x v="0"/>
    <x v="3"/>
    <x v="160"/>
    <x v="146"/>
    <x v="4"/>
    <x v="4"/>
    <x v="160"/>
    <x v="0"/>
    <x v="2"/>
    <x v="1"/>
    <x v="160"/>
  </r>
  <r>
    <x v="161"/>
    <x v="151"/>
    <x v="161"/>
    <x v="0"/>
    <x v="2"/>
    <x v="161"/>
    <x v="122"/>
    <x v="2"/>
    <x v="1"/>
    <x v="161"/>
    <x v="9"/>
    <x v="0"/>
    <x v="3"/>
    <x v="150"/>
  </r>
  <r>
    <x v="162"/>
    <x v="152"/>
    <x v="162"/>
    <x v="3"/>
    <x v="4"/>
    <x v="162"/>
    <x v="69"/>
    <x v="1"/>
    <x v="4"/>
    <x v="162"/>
    <x v="2"/>
    <x v="3"/>
    <x v="4"/>
    <x v="161"/>
  </r>
  <r>
    <x v="163"/>
    <x v="53"/>
    <x v="163"/>
    <x v="2"/>
    <x v="2"/>
    <x v="163"/>
    <x v="147"/>
    <x v="1"/>
    <x v="1"/>
    <x v="163"/>
    <x v="9"/>
    <x v="2"/>
    <x v="1"/>
    <x v="162"/>
  </r>
  <r>
    <x v="164"/>
    <x v="153"/>
    <x v="164"/>
    <x v="6"/>
    <x v="0"/>
    <x v="164"/>
    <x v="148"/>
    <x v="3"/>
    <x v="4"/>
    <x v="164"/>
    <x v="3"/>
    <x v="0"/>
    <x v="4"/>
    <x v="163"/>
  </r>
  <r>
    <x v="165"/>
    <x v="154"/>
    <x v="165"/>
    <x v="0"/>
    <x v="1"/>
    <x v="165"/>
    <x v="149"/>
    <x v="1"/>
    <x v="2"/>
    <x v="165"/>
    <x v="0"/>
    <x v="3"/>
    <x v="4"/>
    <x v="164"/>
  </r>
  <r>
    <x v="166"/>
    <x v="155"/>
    <x v="166"/>
    <x v="3"/>
    <x v="4"/>
    <x v="166"/>
    <x v="51"/>
    <x v="4"/>
    <x v="3"/>
    <x v="166"/>
    <x v="5"/>
    <x v="3"/>
    <x v="0"/>
    <x v="165"/>
  </r>
  <r>
    <x v="167"/>
    <x v="156"/>
    <x v="167"/>
    <x v="3"/>
    <x v="1"/>
    <x v="167"/>
    <x v="150"/>
    <x v="1"/>
    <x v="2"/>
    <x v="167"/>
    <x v="7"/>
    <x v="3"/>
    <x v="2"/>
    <x v="166"/>
  </r>
  <r>
    <x v="168"/>
    <x v="157"/>
    <x v="168"/>
    <x v="4"/>
    <x v="2"/>
    <x v="168"/>
    <x v="151"/>
    <x v="4"/>
    <x v="2"/>
    <x v="168"/>
    <x v="5"/>
    <x v="2"/>
    <x v="3"/>
    <x v="167"/>
  </r>
  <r>
    <x v="169"/>
    <x v="158"/>
    <x v="169"/>
    <x v="4"/>
    <x v="2"/>
    <x v="169"/>
    <x v="152"/>
    <x v="1"/>
    <x v="3"/>
    <x v="169"/>
    <x v="7"/>
    <x v="3"/>
    <x v="2"/>
    <x v="168"/>
  </r>
  <r>
    <x v="170"/>
    <x v="159"/>
    <x v="170"/>
    <x v="6"/>
    <x v="3"/>
    <x v="170"/>
    <x v="153"/>
    <x v="4"/>
    <x v="1"/>
    <x v="170"/>
    <x v="2"/>
    <x v="0"/>
    <x v="0"/>
    <x v="169"/>
  </r>
  <r>
    <x v="171"/>
    <x v="160"/>
    <x v="171"/>
    <x v="2"/>
    <x v="1"/>
    <x v="171"/>
    <x v="154"/>
    <x v="2"/>
    <x v="3"/>
    <x v="171"/>
    <x v="0"/>
    <x v="3"/>
    <x v="0"/>
    <x v="170"/>
  </r>
  <r>
    <x v="172"/>
    <x v="161"/>
    <x v="172"/>
    <x v="4"/>
    <x v="2"/>
    <x v="172"/>
    <x v="119"/>
    <x v="1"/>
    <x v="3"/>
    <x v="172"/>
    <x v="9"/>
    <x v="3"/>
    <x v="2"/>
    <x v="171"/>
  </r>
  <r>
    <x v="173"/>
    <x v="59"/>
    <x v="173"/>
    <x v="1"/>
    <x v="4"/>
    <x v="173"/>
    <x v="155"/>
    <x v="1"/>
    <x v="3"/>
    <x v="173"/>
    <x v="4"/>
    <x v="1"/>
    <x v="4"/>
    <x v="172"/>
  </r>
  <r>
    <x v="174"/>
    <x v="162"/>
    <x v="174"/>
    <x v="4"/>
    <x v="3"/>
    <x v="174"/>
    <x v="156"/>
    <x v="0"/>
    <x v="3"/>
    <x v="174"/>
    <x v="6"/>
    <x v="0"/>
    <x v="2"/>
    <x v="173"/>
  </r>
  <r>
    <x v="175"/>
    <x v="163"/>
    <x v="175"/>
    <x v="3"/>
    <x v="0"/>
    <x v="175"/>
    <x v="157"/>
    <x v="0"/>
    <x v="4"/>
    <x v="175"/>
    <x v="5"/>
    <x v="3"/>
    <x v="1"/>
    <x v="174"/>
  </r>
  <r>
    <x v="176"/>
    <x v="164"/>
    <x v="176"/>
    <x v="2"/>
    <x v="3"/>
    <x v="176"/>
    <x v="158"/>
    <x v="3"/>
    <x v="4"/>
    <x v="176"/>
    <x v="2"/>
    <x v="3"/>
    <x v="1"/>
    <x v="175"/>
  </r>
  <r>
    <x v="177"/>
    <x v="165"/>
    <x v="177"/>
    <x v="3"/>
    <x v="0"/>
    <x v="177"/>
    <x v="159"/>
    <x v="2"/>
    <x v="4"/>
    <x v="177"/>
    <x v="8"/>
    <x v="2"/>
    <x v="3"/>
    <x v="176"/>
  </r>
  <r>
    <x v="178"/>
    <x v="166"/>
    <x v="178"/>
    <x v="3"/>
    <x v="3"/>
    <x v="178"/>
    <x v="160"/>
    <x v="1"/>
    <x v="3"/>
    <x v="178"/>
    <x v="3"/>
    <x v="0"/>
    <x v="4"/>
    <x v="177"/>
  </r>
  <r>
    <x v="179"/>
    <x v="167"/>
    <x v="179"/>
    <x v="5"/>
    <x v="4"/>
    <x v="179"/>
    <x v="161"/>
    <x v="2"/>
    <x v="3"/>
    <x v="179"/>
    <x v="2"/>
    <x v="2"/>
    <x v="2"/>
    <x v="178"/>
  </r>
  <r>
    <x v="180"/>
    <x v="168"/>
    <x v="180"/>
    <x v="2"/>
    <x v="0"/>
    <x v="180"/>
    <x v="162"/>
    <x v="4"/>
    <x v="2"/>
    <x v="180"/>
    <x v="8"/>
    <x v="2"/>
    <x v="4"/>
    <x v="179"/>
  </r>
  <r>
    <x v="181"/>
    <x v="169"/>
    <x v="181"/>
    <x v="4"/>
    <x v="0"/>
    <x v="181"/>
    <x v="163"/>
    <x v="1"/>
    <x v="0"/>
    <x v="181"/>
    <x v="8"/>
    <x v="2"/>
    <x v="1"/>
    <x v="180"/>
  </r>
  <r>
    <x v="182"/>
    <x v="170"/>
    <x v="182"/>
    <x v="6"/>
    <x v="2"/>
    <x v="182"/>
    <x v="164"/>
    <x v="0"/>
    <x v="4"/>
    <x v="182"/>
    <x v="4"/>
    <x v="3"/>
    <x v="4"/>
    <x v="181"/>
  </r>
  <r>
    <x v="183"/>
    <x v="171"/>
    <x v="183"/>
    <x v="0"/>
    <x v="0"/>
    <x v="183"/>
    <x v="165"/>
    <x v="0"/>
    <x v="3"/>
    <x v="183"/>
    <x v="2"/>
    <x v="0"/>
    <x v="2"/>
    <x v="182"/>
  </r>
  <r>
    <x v="184"/>
    <x v="172"/>
    <x v="184"/>
    <x v="2"/>
    <x v="3"/>
    <x v="184"/>
    <x v="166"/>
    <x v="3"/>
    <x v="1"/>
    <x v="184"/>
    <x v="0"/>
    <x v="2"/>
    <x v="1"/>
    <x v="183"/>
  </r>
  <r>
    <x v="185"/>
    <x v="61"/>
    <x v="185"/>
    <x v="5"/>
    <x v="2"/>
    <x v="185"/>
    <x v="167"/>
    <x v="1"/>
    <x v="0"/>
    <x v="185"/>
    <x v="7"/>
    <x v="3"/>
    <x v="1"/>
    <x v="184"/>
  </r>
  <r>
    <x v="186"/>
    <x v="173"/>
    <x v="186"/>
    <x v="1"/>
    <x v="1"/>
    <x v="186"/>
    <x v="168"/>
    <x v="4"/>
    <x v="4"/>
    <x v="186"/>
    <x v="0"/>
    <x v="1"/>
    <x v="3"/>
    <x v="185"/>
  </r>
  <r>
    <x v="187"/>
    <x v="174"/>
    <x v="187"/>
    <x v="3"/>
    <x v="2"/>
    <x v="187"/>
    <x v="169"/>
    <x v="3"/>
    <x v="2"/>
    <x v="187"/>
    <x v="5"/>
    <x v="1"/>
    <x v="1"/>
    <x v="186"/>
  </r>
  <r>
    <x v="188"/>
    <x v="175"/>
    <x v="188"/>
    <x v="3"/>
    <x v="1"/>
    <x v="188"/>
    <x v="170"/>
    <x v="3"/>
    <x v="0"/>
    <x v="188"/>
    <x v="7"/>
    <x v="1"/>
    <x v="1"/>
    <x v="187"/>
  </r>
  <r>
    <x v="189"/>
    <x v="176"/>
    <x v="189"/>
    <x v="4"/>
    <x v="0"/>
    <x v="189"/>
    <x v="171"/>
    <x v="3"/>
    <x v="1"/>
    <x v="189"/>
    <x v="3"/>
    <x v="3"/>
    <x v="2"/>
    <x v="188"/>
  </r>
  <r>
    <x v="190"/>
    <x v="169"/>
    <x v="190"/>
    <x v="4"/>
    <x v="4"/>
    <x v="190"/>
    <x v="172"/>
    <x v="4"/>
    <x v="2"/>
    <x v="190"/>
    <x v="1"/>
    <x v="0"/>
    <x v="2"/>
    <x v="189"/>
  </r>
  <r>
    <x v="191"/>
    <x v="177"/>
    <x v="191"/>
    <x v="5"/>
    <x v="1"/>
    <x v="191"/>
    <x v="173"/>
    <x v="1"/>
    <x v="1"/>
    <x v="191"/>
    <x v="4"/>
    <x v="1"/>
    <x v="4"/>
    <x v="190"/>
  </r>
  <r>
    <x v="192"/>
    <x v="178"/>
    <x v="192"/>
    <x v="6"/>
    <x v="2"/>
    <x v="192"/>
    <x v="131"/>
    <x v="3"/>
    <x v="1"/>
    <x v="192"/>
    <x v="3"/>
    <x v="0"/>
    <x v="4"/>
    <x v="191"/>
  </r>
  <r>
    <x v="193"/>
    <x v="179"/>
    <x v="193"/>
    <x v="4"/>
    <x v="2"/>
    <x v="193"/>
    <x v="174"/>
    <x v="4"/>
    <x v="1"/>
    <x v="193"/>
    <x v="5"/>
    <x v="2"/>
    <x v="4"/>
    <x v="192"/>
  </r>
  <r>
    <x v="194"/>
    <x v="180"/>
    <x v="194"/>
    <x v="0"/>
    <x v="2"/>
    <x v="194"/>
    <x v="175"/>
    <x v="4"/>
    <x v="0"/>
    <x v="194"/>
    <x v="1"/>
    <x v="1"/>
    <x v="4"/>
    <x v="193"/>
  </r>
  <r>
    <x v="195"/>
    <x v="181"/>
    <x v="195"/>
    <x v="3"/>
    <x v="4"/>
    <x v="195"/>
    <x v="176"/>
    <x v="0"/>
    <x v="1"/>
    <x v="195"/>
    <x v="5"/>
    <x v="2"/>
    <x v="2"/>
    <x v="194"/>
  </r>
  <r>
    <x v="196"/>
    <x v="182"/>
    <x v="196"/>
    <x v="6"/>
    <x v="3"/>
    <x v="196"/>
    <x v="177"/>
    <x v="4"/>
    <x v="3"/>
    <x v="196"/>
    <x v="2"/>
    <x v="3"/>
    <x v="2"/>
    <x v="195"/>
  </r>
  <r>
    <x v="197"/>
    <x v="183"/>
    <x v="197"/>
    <x v="5"/>
    <x v="0"/>
    <x v="197"/>
    <x v="178"/>
    <x v="4"/>
    <x v="2"/>
    <x v="197"/>
    <x v="3"/>
    <x v="3"/>
    <x v="1"/>
    <x v="196"/>
  </r>
  <r>
    <x v="198"/>
    <x v="184"/>
    <x v="198"/>
    <x v="5"/>
    <x v="3"/>
    <x v="198"/>
    <x v="34"/>
    <x v="4"/>
    <x v="1"/>
    <x v="198"/>
    <x v="2"/>
    <x v="0"/>
    <x v="1"/>
    <x v="197"/>
  </r>
  <r>
    <x v="199"/>
    <x v="185"/>
    <x v="199"/>
    <x v="1"/>
    <x v="2"/>
    <x v="199"/>
    <x v="179"/>
    <x v="1"/>
    <x v="2"/>
    <x v="199"/>
    <x v="3"/>
    <x v="3"/>
    <x v="4"/>
    <x v="198"/>
  </r>
  <r>
    <x v="200"/>
    <x v="186"/>
    <x v="200"/>
    <x v="2"/>
    <x v="0"/>
    <x v="200"/>
    <x v="30"/>
    <x v="2"/>
    <x v="3"/>
    <x v="200"/>
    <x v="6"/>
    <x v="0"/>
    <x v="4"/>
    <x v="199"/>
  </r>
  <r>
    <x v="201"/>
    <x v="187"/>
    <x v="201"/>
    <x v="0"/>
    <x v="1"/>
    <x v="201"/>
    <x v="72"/>
    <x v="1"/>
    <x v="0"/>
    <x v="201"/>
    <x v="4"/>
    <x v="0"/>
    <x v="3"/>
    <x v="200"/>
  </r>
  <r>
    <x v="202"/>
    <x v="188"/>
    <x v="202"/>
    <x v="0"/>
    <x v="4"/>
    <x v="202"/>
    <x v="125"/>
    <x v="2"/>
    <x v="1"/>
    <x v="202"/>
    <x v="1"/>
    <x v="1"/>
    <x v="2"/>
    <x v="201"/>
  </r>
  <r>
    <x v="203"/>
    <x v="94"/>
    <x v="203"/>
    <x v="4"/>
    <x v="4"/>
    <x v="203"/>
    <x v="180"/>
    <x v="1"/>
    <x v="0"/>
    <x v="203"/>
    <x v="3"/>
    <x v="0"/>
    <x v="0"/>
    <x v="202"/>
  </r>
  <r>
    <x v="204"/>
    <x v="189"/>
    <x v="204"/>
    <x v="5"/>
    <x v="3"/>
    <x v="204"/>
    <x v="129"/>
    <x v="3"/>
    <x v="1"/>
    <x v="204"/>
    <x v="6"/>
    <x v="1"/>
    <x v="3"/>
    <x v="203"/>
  </r>
  <r>
    <x v="205"/>
    <x v="190"/>
    <x v="205"/>
    <x v="6"/>
    <x v="4"/>
    <x v="205"/>
    <x v="181"/>
    <x v="0"/>
    <x v="2"/>
    <x v="205"/>
    <x v="1"/>
    <x v="2"/>
    <x v="2"/>
    <x v="204"/>
  </r>
  <r>
    <x v="206"/>
    <x v="162"/>
    <x v="206"/>
    <x v="5"/>
    <x v="3"/>
    <x v="206"/>
    <x v="182"/>
    <x v="3"/>
    <x v="2"/>
    <x v="206"/>
    <x v="2"/>
    <x v="3"/>
    <x v="2"/>
    <x v="205"/>
  </r>
  <r>
    <x v="207"/>
    <x v="191"/>
    <x v="207"/>
    <x v="1"/>
    <x v="2"/>
    <x v="207"/>
    <x v="183"/>
    <x v="0"/>
    <x v="3"/>
    <x v="207"/>
    <x v="1"/>
    <x v="2"/>
    <x v="4"/>
    <x v="206"/>
  </r>
  <r>
    <x v="208"/>
    <x v="192"/>
    <x v="208"/>
    <x v="6"/>
    <x v="1"/>
    <x v="208"/>
    <x v="171"/>
    <x v="1"/>
    <x v="0"/>
    <x v="208"/>
    <x v="1"/>
    <x v="1"/>
    <x v="3"/>
    <x v="207"/>
  </r>
  <r>
    <x v="209"/>
    <x v="193"/>
    <x v="209"/>
    <x v="2"/>
    <x v="0"/>
    <x v="209"/>
    <x v="7"/>
    <x v="4"/>
    <x v="2"/>
    <x v="209"/>
    <x v="6"/>
    <x v="0"/>
    <x v="4"/>
    <x v="208"/>
  </r>
  <r>
    <x v="210"/>
    <x v="194"/>
    <x v="210"/>
    <x v="3"/>
    <x v="4"/>
    <x v="210"/>
    <x v="122"/>
    <x v="3"/>
    <x v="3"/>
    <x v="210"/>
    <x v="0"/>
    <x v="1"/>
    <x v="3"/>
    <x v="209"/>
  </r>
  <r>
    <x v="211"/>
    <x v="195"/>
    <x v="211"/>
    <x v="4"/>
    <x v="4"/>
    <x v="211"/>
    <x v="184"/>
    <x v="3"/>
    <x v="4"/>
    <x v="211"/>
    <x v="0"/>
    <x v="1"/>
    <x v="2"/>
    <x v="210"/>
  </r>
  <r>
    <x v="212"/>
    <x v="196"/>
    <x v="212"/>
    <x v="0"/>
    <x v="2"/>
    <x v="212"/>
    <x v="185"/>
    <x v="2"/>
    <x v="1"/>
    <x v="212"/>
    <x v="5"/>
    <x v="3"/>
    <x v="2"/>
    <x v="211"/>
  </r>
  <r>
    <x v="213"/>
    <x v="197"/>
    <x v="213"/>
    <x v="5"/>
    <x v="2"/>
    <x v="213"/>
    <x v="186"/>
    <x v="4"/>
    <x v="1"/>
    <x v="213"/>
    <x v="5"/>
    <x v="0"/>
    <x v="2"/>
    <x v="212"/>
  </r>
  <r>
    <x v="214"/>
    <x v="58"/>
    <x v="214"/>
    <x v="6"/>
    <x v="3"/>
    <x v="214"/>
    <x v="113"/>
    <x v="1"/>
    <x v="3"/>
    <x v="214"/>
    <x v="3"/>
    <x v="2"/>
    <x v="3"/>
    <x v="213"/>
  </r>
  <r>
    <x v="215"/>
    <x v="121"/>
    <x v="215"/>
    <x v="4"/>
    <x v="2"/>
    <x v="215"/>
    <x v="187"/>
    <x v="4"/>
    <x v="0"/>
    <x v="215"/>
    <x v="3"/>
    <x v="1"/>
    <x v="3"/>
    <x v="214"/>
  </r>
  <r>
    <x v="216"/>
    <x v="198"/>
    <x v="216"/>
    <x v="0"/>
    <x v="3"/>
    <x v="216"/>
    <x v="55"/>
    <x v="1"/>
    <x v="1"/>
    <x v="216"/>
    <x v="2"/>
    <x v="3"/>
    <x v="4"/>
    <x v="215"/>
  </r>
  <r>
    <x v="217"/>
    <x v="199"/>
    <x v="217"/>
    <x v="6"/>
    <x v="3"/>
    <x v="217"/>
    <x v="188"/>
    <x v="4"/>
    <x v="2"/>
    <x v="217"/>
    <x v="6"/>
    <x v="2"/>
    <x v="4"/>
    <x v="216"/>
  </r>
  <r>
    <x v="218"/>
    <x v="200"/>
    <x v="218"/>
    <x v="2"/>
    <x v="4"/>
    <x v="218"/>
    <x v="189"/>
    <x v="3"/>
    <x v="0"/>
    <x v="218"/>
    <x v="5"/>
    <x v="0"/>
    <x v="0"/>
    <x v="217"/>
  </r>
  <r>
    <x v="219"/>
    <x v="201"/>
    <x v="219"/>
    <x v="5"/>
    <x v="0"/>
    <x v="219"/>
    <x v="190"/>
    <x v="4"/>
    <x v="3"/>
    <x v="219"/>
    <x v="5"/>
    <x v="0"/>
    <x v="2"/>
    <x v="218"/>
  </r>
  <r>
    <x v="220"/>
    <x v="202"/>
    <x v="220"/>
    <x v="5"/>
    <x v="1"/>
    <x v="220"/>
    <x v="191"/>
    <x v="2"/>
    <x v="4"/>
    <x v="220"/>
    <x v="5"/>
    <x v="0"/>
    <x v="1"/>
    <x v="219"/>
  </r>
  <r>
    <x v="221"/>
    <x v="203"/>
    <x v="221"/>
    <x v="2"/>
    <x v="0"/>
    <x v="221"/>
    <x v="64"/>
    <x v="0"/>
    <x v="4"/>
    <x v="221"/>
    <x v="5"/>
    <x v="0"/>
    <x v="4"/>
    <x v="220"/>
  </r>
  <r>
    <x v="222"/>
    <x v="204"/>
    <x v="222"/>
    <x v="3"/>
    <x v="3"/>
    <x v="222"/>
    <x v="192"/>
    <x v="1"/>
    <x v="0"/>
    <x v="222"/>
    <x v="2"/>
    <x v="2"/>
    <x v="0"/>
    <x v="221"/>
  </r>
  <r>
    <x v="223"/>
    <x v="57"/>
    <x v="223"/>
    <x v="1"/>
    <x v="3"/>
    <x v="223"/>
    <x v="113"/>
    <x v="2"/>
    <x v="4"/>
    <x v="223"/>
    <x v="6"/>
    <x v="0"/>
    <x v="0"/>
    <x v="222"/>
  </r>
  <r>
    <x v="224"/>
    <x v="205"/>
    <x v="224"/>
    <x v="4"/>
    <x v="3"/>
    <x v="224"/>
    <x v="193"/>
    <x v="4"/>
    <x v="1"/>
    <x v="224"/>
    <x v="6"/>
    <x v="0"/>
    <x v="1"/>
    <x v="223"/>
  </r>
  <r>
    <x v="225"/>
    <x v="206"/>
    <x v="225"/>
    <x v="1"/>
    <x v="4"/>
    <x v="225"/>
    <x v="194"/>
    <x v="0"/>
    <x v="2"/>
    <x v="225"/>
    <x v="2"/>
    <x v="0"/>
    <x v="4"/>
    <x v="224"/>
  </r>
  <r>
    <x v="226"/>
    <x v="207"/>
    <x v="226"/>
    <x v="6"/>
    <x v="4"/>
    <x v="226"/>
    <x v="195"/>
    <x v="3"/>
    <x v="3"/>
    <x v="226"/>
    <x v="2"/>
    <x v="2"/>
    <x v="0"/>
    <x v="225"/>
  </r>
  <r>
    <x v="227"/>
    <x v="208"/>
    <x v="227"/>
    <x v="0"/>
    <x v="1"/>
    <x v="227"/>
    <x v="118"/>
    <x v="1"/>
    <x v="1"/>
    <x v="227"/>
    <x v="4"/>
    <x v="1"/>
    <x v="3"/>
    <x v="226"/>
  </r>
  <r>
    <x v="228"/>
    <x v="209"/>
    <x v="228"/>
    <x v="3"/>
    <x v="3"/>
    <x v="228"/>
    <x v="196"/>
    <x v="2"/>
    <x v="1"/>
    <x v="228"/>
    <x v="2"/>
    <x v="2"/>
    <x v="0"/>
    <x v="227"/>
  </r>
  <r>
    <x v="229"/>
    <x v="210"/>
    <x v="229"/>
    <x v="2"/>
    <x v="2"/>
    <x v="229"/>
    <x v="197"/>
    <x v="2"/>
    <x v="3"/>
    <x v="229"/>
    <x v="1"/>
    <x v="3"/>
    <x v="3"/>
    <x v="228"/>
  </r>
  <r>
    <x v="230"/>
    <x v="211"/>
    <x v="230"/>
    <x v="6"/>
    <x v="3"/>
    <x v="230"/>
    <x v="198"/>
    <x v="3"/>
    <x v="3"/>
    <x v="230"/>
    <x v="5"/>
    <x v="3"/>
    <x v="2"/>
    <x v="229"/>
  </r>
  <r>
    <x v="231"/>
    <x v="212"/>
    <x v="231"/>
    <x v="1"/>
    <x v="3"/>
    <x v="231"/>
    <x v="199"/>
    <x v="3"/>
    <x v="4"/>
    <x v="231"/>
    <x v="6"/>
    <x v="1"/>
    <x v="0"/>
    <x v="230"/>
  </r>
  <r>
    <x v="232"/>
    <x v="213"/>
    <x v="232"/>
    <x v="4"/>
    <x v="3"/>
    <x v="232"/>
    <x v="200"/>
    <x v="0"/>
    <x v="1"/>
    <x v="232"/>
    <x v="2"/>
    <x v="3"/>
    <x v="4"/>
    <x v="231"/>
  </r>
  <r>
    <x v="233"/>
    <x v="214"/>
    <x v="233"/>
    <x v="1"/>
    <x v="4"/>
    <x v="233"/>
    <x v="72"/>
    <x v="4"/>
    <x v="1"/>
    <x v="233"/>
    <x v="1"/>
    <x v="3"/>
    <x v="0"/>
    <x v="232"/>
  </r>
  <r>
    <x v="234"/>
    <x v="130"/>
    <x v="234"/>
    <x v="4"/>
    <x v="3"/>
    <x v="234"/>
    <x v="201"/>
    <x v="0"/>
    <x v="4"/>
    <x v="234"/>
    <x v="0"/>
    <x v="0"/>
    <x v="4"/>
    <x v="233"/>
  </r>
  <r>
    <x v="235"/>
    <x v="215"/>
    <x v="235"/>
    <x v="6"/>
    <x v="2"/>
    <x v="235"/>
    <x v="202"/>
    <x v="4"/>
    <x v="4"/>
    <x v="235"/>
    <x v="7"/>
    <x v="3"/>
    <x v="4"/>
    <x v="234"/>
  </r>
  <r>
    <x v="236"/>
    <x v="107"/>
    <x v="236"/>
    <x v="0"/>
    <x v="2"/>
    <x v="236"/>
    <x v="203"/>
    <x v="0"/>
    <x v="4"/>
    <x v="236"/>
    <x v="1"/>
    <x v="3"/>
    <x v="2"/>
    <x v="235"/>
  </r>
  <r>
    <x v="237"/>
    <x v="216"/>
    <x v="237"/>
    <x v="0"/>
    <x v="4"/>
    <x v="237"/>
    <x v="204"/>
    <x v="2"/>
    <x v="0"/>
    <x v="237"/>
    <x v="3"/>
    <x v="1"/>
    <x v="3"/>
    <x v="236"/>
  </r>
  <r>
    <x v="238"/>
    <x v="217"/>
    <x v="238"/>
    <x v="6"/>
    <x v="3"/>
    <x v="238"/>
    <x v="205"/>
    <x v="2"/>
    <x v="4"/>
    <x v="238"/>
    <x v="5"/>
    <x v="3"/>
    <x v="4"/>
    <x v="237"/>
  </r>
  <r>
    <x v="239"/>
    <x v="218"/>
    <x v="239"/>
    <x v="2"/>
    <x v="4"/>
    <x v="239"/>
    <x v="206"/>
    <x v="1"/>
    <x v="0"/>
    <x v="239"/>
    <x v="5"/>
    <x v="1"/>
    <x v="2"/>
    <x v="238"/>
  </r>
  <r>
    <x v="240"/>
    <x v="219"/>
    <x v="240"/>
    <x v="2"/>
    <x v="2"/>
    <x v="240"/>
    <x v="207"/>
    <x v="1"/>
    <x v="4"/>
    <x v="240"/>
    <x v="7"/>
    <x v="1"/>
    <x v="0"/>
    <x v="239"/>
  </r>
  <r>
    <x v="241"/>
    <x v="220"/>
    <x v="241"/>
    <x v="3"/>
    <x v="0"/>
    <x v="241"/>
    <x v="208"/>
    <x v="1"/>
    <x v="4"/>
    <x v="241"/>
    <x v="5"/>
    <x v="0"/>
    <x v="2"/>
    <x v="240"/>
  </r>
  <r>
    <x v="242"/>
    <x v="221"/>
    <x v="242"/>
    <x v="4"/>
    <x v="1"/>
    <x v="242"/>
    <x v="209"/>
    <x v="1"/>
    <x v="4"/>
    <x v="242"/>
    <x v="4"/>
    <x v="0"/>
    <x v="1"/>
    <x v="241"/>
  </r>
  <r>
    <x v="243"/>
    <x v="222"/>
    <x v="243"/>
    <x v="3"/>
    <x v="1"/>
    <x v="243"/>
    <x v="210"/>
    <x v="1"/>
    <x v="1"/>
    <x v="243"/>
    <x v="0"/>
    <x v="1"/>
    <x v="4"/>
    <x v="242"/>
  </r>
  <r>
    <x v="244"/>
    <x v="223"/>
    <x v="244"/>
    <x v="6"/>
    <x v="1"/>
    <x v="244"/>
    <x v="211"/>
    <x v="0"/>
    <x v="1"/>
    <x v="244"/>
    <x v="4"/>
    <x v="3"/>
    <x v="3"/>
    <x v="243"/>
  </r>
  <r>
    <x v="245"/>
    <x v="224"/>
    <x v="245"/>
    <x v="5"/>
    <x v="2"/>
    <x v="245"/>
    <x v="212"/>
    <x v="1"/>
    <x v="2"/>
    <x v="245"/>
    <x v="9"/>
    <x v="2"/>
    <x v="3"/>
    <x v="244"/>
  </r>
  <r>
    <x v="246"/>
    <x v="225"/>
    <x v="246"/>
    <x v="6"/>
    <x v="1"/>
    <x v="246"/>
    <x v="213"/>
    <x v="3"/>
    <x v="0"/>
    <x v="246"/>
    <x v="7"/>
    <x v="3"/>
    <x v="0"/>
    <x v="245"/>
  </r>
  <r>
    <x v="247"/>
    <x v="145"/>
    <x v="247"/>
    <x v="4"/>
    <x v="1"/>
    <x v="247"/>
    <x v="214"/>
    <x v="3"/>
    <x v="0"/>
    <x v="247"/>
    <x v="4"/>
    <x v="2"/>
    <x v="2"/>
    <x v="246"/>
  </r>
  <r>
    <x v="248"/>
    <x v="226"/>
    <x v="248"/>
    <x v="5"/>
    <x v="2"/>
    <x v="248"/>
    <x v="215"/>
    <x v="4"/>
    <x v="0"/>
    <x v="248"/>
    <x v="5"/>
    <x v="1"/>
    <x v="1"/>
    <x v="247"/>
  </r>
  <r>
    <x v="249"/>
    <x v="227"/>
    <x v="249"/>
    <x v="4"/>
    <x v="2"/>
    <x v="249"/>
    <x v="216"/>
    <x v="4"/>
    <x v="4"/>
    <x v="249"/>
    <x v="3"/>
    <x v="1"/>
    <x v="1"/>
    <x v="248"/>
  </r>
  <r>
    <x v="250"/>
    <x v="228"/>
    <x v="250"/>
    <x v="6"/>
    <x v="4"/>
    <x v="250"/>
    <x v="82"/>
    <x v="3"/>
    <x v="2"/>
    <x v="250"/>
    <x v="2"/>
    <x v="0"/>
    <x v="2"/>
    <x v="249"/>
  </r>
  <r>
    <x v="251"/>
    <x v="229"/>
    <x v="251"/>
    <x v="0"/>
    <x v="3"/>
    <x v="251"/>
    <x v="217"/>
    <x v="4"/>
    <x v="1"/>
    <x v="251"/>
    <x v="6"/>
    <x v="2"/>
    <x v="2"/>
    <x v="250"/>
  </r>
  <r>
    <x v="252"/>
    <x v="28"/>
    <x v="252"/>
    <x v="1"/>
    <x v="3"/>
    <x v="252"/>
    <x v="218"/>
    <x v="3"/>
    <x v="1"/>
    <x v="252"/>
    <x v="3"/>
    <x v="1"/>
    <x v="3"/>
    <x v="251"/>
  </r>
  <r>
    <x v="253"/>
    <x v="230"/>
    <x v="253"/>
    <x v="3"/>
    <x v="3"/>
    <x v="253"/>
    <x v="93"/>
    <x v="3"/>
    <x v="2"/>
    <x v="253"/>
    <x v="0"/>
    <x v="1"/>
    <x v="0"/>
    <x v="252"/>
  </r>
  <r>
    <x v="254"/>
    <x v="231"/>
    <x v="254"/>
    <x v="0"/>
    <x v="4"/>
    <x v="254"/>
    <x v="205"/>
    <x v="1"/>
    <x v="3"/>
    <x v="254"/>
    <x v="3"/>
    <x v="2"/>
    <x v="0"/>
    <x v="253"/>
  </r>
  <r>
    <x v="255"/>
    <x v="232"/>
    <x v="255"/>
    <x v="0"/>
    <x v="2"/>
    <x v="255"/>
    <x v="155"/>
    <x v="3"/>
    <x v="2"/>
    <x v="255"/>
    <x v="7"/>
    <x v="0"/>
    <x v="4"/>
    <x v="254"/>
  </r>
  <r>
    <x v="256"/>
    <x v="233"/>
    <x v="256"/>
    <x v="3"/>
    <x v="0"/>
    <x v="256"/>
    <x v="219"/>
    <x v="3"/>
    <x v="2"/>
    <x v="256"/>
    <x v="8"/>
    <x v="3"/>
    <x v="0"/>
    <x v="255"/>
  </r>
  <r>
    <x v="257"/>
    <x v="234"/>
    <x v="257"/>
    <x v="1"/>
    <x v="2"/>
    <x v="257"/>
    <x v="220"/>
    <x v="2"/>
    <x v="1"/>
    <x v="257"/>
    <x v="3"/>
    <x v="0"/>
    <x v="1"/>
    <x v="256"/>
  </r>
  <r>
    <x v="258"/>
    <x v="235"/>
    <x v="258"/>
    <x v="2"/>
    <x v="1"/>
    <x v="258"/>
    <x v="221"/>
    <x v="1"/>
    <x v="0"/>
    <x v="258"/>
    <x v="7"/>
    <x v="1"/>
    <x v="1"/>
    <x v="257"/>
  </r>
  <r>
    <x v="259"/>
    <x v="236"/>
    <x v="259"/>
    <x v="3"/>
    <x v="3"/>
    <x v="259"/>
    <x v="125"/>
    <x v="2"/>
    <x v="3"/>
    <x v="259"/>
    <x v="6"/>
    <x v="0"/>
    <x v="0"/>
    <x v="258"/>
  </r>
  <r>
    <x v="260"/>
    <x v="209"/>
    <x v="260"/>
    <x v="0"/>
    <x v="1"/>
    <x v="260"/>
    <x v="222"/>
    <x v="0"/>
    <x v="0"/>
    <x v="260"/>
    <x v="1"/>
    <x v="2"/>
    <x v="4"/>
    <x v="259"/>
  </r>
  <r>
    <x v="261"/>
    <x v="237"/>
    <x v="261"/>
    <x v="1"/>
    <x v="0"/>
    <x v="261"/>
    <x v="223"/>
    <x v="3"/>
    <x v="3"/>
    <x v="261"/>
    <x v="6"/>
    <x v="0"/>
    <x v="2"/>
    <x v="260"/>
  </r>
  <r>
    <x v="262"/>
    <x v="238"/>
    <x v="262"/>
    <x v="1"/>
    <x v="3"/>
    <x v="262"/>
    <x v="126"/>
    <x v="2"/>
    <x v="2"/>
    <x v="262"/>
    <x v="3"/>
    <x v="3"/>
    <x v="1"/>
    <x v="261"/>
  </r>
  <r>
    <x v="263"/>
    <x v="239"/>
    <x v="263"/>
    <x v="1"/>
    <x v="3"/>
    <x v="263"/>
    <x v="224"/>
    <x v="2"/>
    <x v="4"/>
    <x v="263"/>
    <x v="4"/>
    <x v="3"/>
    <x v="4"/>
    <x v="262"/>
  </r>
  <r>
    <x v="264"/>
    <x v="240"/>
    <x v="264"/>
    <x v="2"/>
    <x v="2"/>
    <x v="264"/>
    <x v="225"/>
    <x v="4"/>
    <x v="2"/>
    <x v="264"/>
    <x v="3"/>
    <x v="1"/>
    <x v="4"/>
    <x v="263"/>
  </r>
  <r>
    <x v="265"/>
    <x v="241"/>
    <x v="265"/>
    <x v="4"/>
    <x v="2"/>
    <x v="265"/>
    <x v="226"/>
    <x v="0"/>
    <x v="1"/>
    <x v="265"/>
    <x v="4"/>
    <x v="0"/>
    <x v="4"/>
    <x v="264"/>
  </r>
  <r>
    <x v="266"/>
    <x v="180"/>
    <x v="266"/>
    <x v="3"/>
    <x v="3"/>
    <x v="266"/>
    <x v="227"/>
    <x v="2"/>
    <x v="1"/>
    <x v="266"/>
    <x v="5"/>
    <x v="1"/>
    <x v="1"/>
    <x v="265"/>
  </r>
  <r>
    <x v="267"/>
    <x v="242"/>
    <x v="267"/>
    <x v="3"/>
    <x v="0"/>
    <x v="267"/>
    <x v="228"/>
    <x v="0"/>
    <x v="3"/>
    <x v="267"/>
    <x v="6"/>
    <x v="2"/>
    <x v="3"/>
    <x v="266"/>
  </r>
  <r>
    <x v="268"/>
    <x v="178"/>
    <x v="268"/>
    <x v="1"/>
    <x v="1"/>
    <x v="268"/>
    <x v="229"/>
    <x v="0"/>
    <x v="3"/>
    <x v="268"/>
    <x v="0"/>
    <x v="0"/>
    <x v="1"/>
    <x v="267"/>
  </r>
  <r>
    <x v="269"/>
    <x v="97"/>
    <x v="269"/>
    <x v="2"/>
    <x v="3"/>
    <x v="269"/>
    <x v="67"/>
    <x v="2"/>
    <x v="4"/>
    <x v="269"/>
    <x v="0"/>
    <x v="1"/>
    <x v="4"/>
    <x v="268"/>
  </r>
  <r>
    <x v="270"/>
    <x v="243"/>
    <x v="270"/>
    <x v="4"/>
    <x v="3"/>
    <x v="270"/>
    <x v="230"/>
    <x v="0"/>
    <x v="0"/>
    <x v="270"/>
    <x v="3"/>
    <x v="3"/>
    <x v="4"/>
    <x v="269"/>
  </r>
  <r>
    <x v="271"/>
    <x v="125"/>
    <x v="271"/>
    <x v="0"/>
    <x v="2"/>
    <x v="271"/>
    <x v="231"/>
    <x v="4"/>
    <x v="0"/>
    <x v="271"/>
    <x v="5"/>
    <x v="3"/>
    <x v="1"/>
    <x v="270"/>
  </r>
  <r>
    <x v="272"/>
    <x v="244"/>
    <x v="272"/>
    <x v="3"/>
    <x v="1"/>
    <x v="272"/>
    <x v="232"/>
    <x v="1"/>
    <x v="4"/>
    <x v="272"/>
    <x v="5"/>
    <x v="3"/>
    <x v="0"/>
    <x v="271"/>
  </r>
  <r>
    <x v="273"/>
    <x v="245"/>
    <x v="273"/>
    <x v="2"/>
    <x v="1"/>
    <x v="273"/>
    <x v="233"/>
    <x v="1"/>
    <x v="1"/>
    <x v="273"/>
    <x v="0"/>
    <x v="1"/>
    <x v="2"/>
    <x v="272"/>
  </r>
  <r>
    <x v="274"/>
    <x v="246"/>
    <x v="274"/>
    <x v="1"/>
    <x v="1"/>
    <x v="274"/>
    <x v="234"/>
    <x v="3"/>
    <x v="1"/>
    <x v="274"/>
    <x v="3"/>
    <x v="0"/>
    <x v="1"/>
    <x v="273"/>
  </r>
  <r>
    <x v="275"/>
    <x v="247"/>
    <x v="275"/>
    <x v="3"/>
    <x v="1"/>
    <x v="275"/>
    <x v="235"/>
    <x v="2"/>
    <x v="1"/>
    <x v="275"/>
    <x v="4"/>
    <x v="0"/>
    <x v="4"/>
    <x v="274"/>
  </r>
  <r>
    <x v="276"/>
    <x v="248"/>
    <x v="276"/>
    <x v="4"/>
    <x v="1"/>
    <x v="276"/>
    <x v="236"/>
    <x v="0"/>
    <x v="2"/>
    <x v="276"/>
    <x v="1"/>
    <x v="3"/>
    <x v="0"/>
    <x v="275"/>
  </r>
  <r>
    <x v="277"/>
    <x v="82"/>
    <x v="277"/>
    <x v="3"/>
    <x v="0"/>
    <x v="277"/>
    <x v="237"/>
    <x v="2"/>
    <x v="3"/>
    <x v="277"/>
    <x v="6"/>
    <x v="0"/>
    <x v="3"/>
    <x v="276"/>
  </r>
  <r>
    <x v="278"/>
    <x v="249"/>
    <x v="278"/>
    <x v="5"/>
    <x v="0"/>
    <x v="278"/>
    <x v="238"/>
    <x v="4"/>
    <x v="3"/>
    <x v="278"/>
    <x v="5"/>
    <x v="1"/>
    <x v="0"/>
    <x v="277"/>
  </r>
  <r>
    <x v="279"/>
    <x v="250"/>
    <x v="279"/>
    <x v="3"/>
    <x v="4"/>
    <x v="279"/>
    <x v="239"/>
    <x v="1"/>
    <x v="4"/>
    <x v="279"/>
    <x v="0"/>
    <x v="3"/>
    <x v="2"/>
    <x v="278"/>
  </r>
  <r>
    <x v="280"/>
    <x v="14"/>
    <x v="280"/>
    <x v="2"/>
    <x v="4"/>
    <x v="280"/>
    <x v="240"/>
    <x v="3"/>
    <x v="3"/>
    <x v="280"/>
    <x v="5"/>
    <x v="1"/>
    <x v="0"/>
    <x v="279"/>
  </r>
  <r>
    <x v="281"/>
    <x v="152"/>
    <x v="281"/>
    <x v="6"/>
    <x v="3"/>
    <x v="281"/>
    <x v="241"/>
    <x v="4"/>
    <x v="4"/>
    <x v="281"/>
    <x v="6"/>
    <x v="2"/>
    <x v="1"/>
    <x v="280"/>
  </r>
  <r>
    <x v="282"/>
    <x v="251"/>
    <x v="282"/>
    <x v="4"/>
    <x v="3"/>
    <x v="282"/>
    <x v="242"/>
    <x v="3"/>
    <x v="1"/>
    <x v="282"/>
    <x v="6"/>
    <x v="1"/>
    <x v="4"/>
    <x v="281"/>
  </r>
  <r>
    <x v="283"/>
    <x v="252"/>
    <x v="283"/>
    <x v="5"/>
    <x v="3"/>
    <x v="283"/>
    <x v="243"/>
    <x v="4"/>
    <x v="0"/>
    <x v="283"/>
    <x v="5"/>
    <x v="2"/>
    <x v="4"/>
    <x v="282"/>
  </r>
  <r>
    <x v="284"/>
    <x v="223"/>
    <x v="284"/>
    <x v="5"/>
    <x v="0"/>
    <x v="284"/>
    <x v="244"/>
    <x v="2"/>
    <x v="2"/>
    <x v="284"/>
    <x v="5"/>
    <x v="0"/>
    <x v="3"/>
    <x v="283"/>
  </r>
  <r>
    <x v="285"/>
    <x v="69"/>
    <x v="285"/>
    <x v="1"/>
    <x v="2"/>
    <x v="285"/>
    <x v="233"/>
    <x v="1"/>
    <x v="3"/>
    <x v="285"/>
    <x v="1"/>
    <x v="2"/>
    <x v="4"/>
    <x v="284"/>
  </r>
  <r>
    <x v="286"/>
    <x v="253"/>
    <x v="286"/>
    <x v="0"/>
    <x v="4"/>
    <x v="286"/>
    <x v="112"/>
    <x v="3"/>
    <x v="2"/>
    <x v="286"/>
    <x v="2"/>
    <x v="3"/>
    <x v="4"/>
    <x v="285"/>
  </r>
  <r>
    <x v="287"/>
    <x v="254"/>
    <x v="287"/>
    <x v="3"/>
    <x v="3"/>
    <x v="287"/>
    <x v="245"/>
    <x v="1"/>
    <x v="0"/>
    <x v="287"/>
    <x v="3"/>
    <x v="2"/>
    <x v="3"/>
    <x v="286"/>
  </r>
  <r>
    <x v="288"/>
    <x v="255"/>
    <x v="288"/>
    <x v="5"/>
    <x v="3"/>
    <x v="288"/>
    <x v="246"/>
    <x v="0"/>
    <x v="2"/>
    <x v="288"/>
    <x v="2"/>
    <x v="3"/>
    <x v="4"/>
    <x v="287"/>
  </r>
  <r>
    <x v="289"/>
    <x v="256"/>
    <x v="289"/>
    <x v="3"/>
    <x v="3"/>
    <x v="289"/>
    <x v="10"/>
    <x v="2"/>
    <x v="0"/>
    <x v="289"/>
    <x v="2"/>
    <x v="3"/>
    <x v="1"/>
    <x v="288"/>
  </r>
  <r>
    <x v="290"/>
    <x v="257"/>
    <x v="290"/>
    <x v="3"/>
    <x v="4"/>
    <x v="290"/>
    <x v="165"/>
    <x v="4"/>
    <x v="3"/>
    <x v="290"/>
    <x v="2"/>
    <x v="1"/>
    <x v="3"/>
    <x v="289"/>
  </r>
  <r>
    <x v="291"/>
    <x v="258"/>
    <x v="291"/>
    <x v="1"/>
    <x v="1"/>
    <x v="291"/>
    <x v="247"/>
    <x v="2"/>
    <x v="3"/>
    <x v="291"/>
    <x v="5"/>
    <x v="1"/>
    <x v="4"/>
    <x v="290"/>
  </r>
  <r>
    <x v="292"/>
    <x v="259"/>
    <x v="292"/>
    <x v="0"/>
    <x v="2"/>
    <x v="292"/>
    <x v="184"/>
    <x v="2"/>
    <x v="3"/>
    <x v="292"/>
    <x v="3"/>
    <x v="2"/>
    <x v="3"/>
    <x v="291"/>
  </r>
  <r>
    <x v="293"/>
    <x v="223"/>
    <x v="293"/>
    <x v="2"/>
    <x v="3"/>
    <x v="293"/>
    <x v="248"/>
    <x v="3"/>
    <x v="2"/>
    <x v="293"/>
    <x v="6"/>
    <x v="2"/>
    <x v="0"/>
    <x v="292"/>
  </r>
  <r>
    <x v="294"/>
    <x v="260"/>
    <x v="294"/>
    <x v="1"/>
    <x v="1"/>
    <x v="294"/>
    <x v="249"/>
    <x v="1"/>
    <x v="0"/>
    <x v="294"/>
    <x v="0"/>
    <x v="0"/>
    <x v="1"/>
    <x v="293"/>
  </r>
  <r>
    <x v="295"/>
    <x v="261"/>
    <x v="295"/>
    <x v="4"/>
    <x v="0"/>
    <x v="295"/>
    <x v="250"/>
    <x v="0"/>
    <x v="1"/>
    <x v="295"/>
    <x v="6"/>
    <x v="1"/>
    <x v="2"/>
    <x v="294"/>
  </r>
  <r>
    <x v="296"/>
    <x v="83"/>
    <x v="296"/>
    <x v="6"/>
    <x v="0"/>
    <x v="296"/>
    <x v="48"/>
    <x v="0"/>
    <x v="1"/>
    <x v="296"/>
    <x v="8"/>
    <x v="3"/>
    <x v="1"/>
    <x v="295"/>
  </r>
  <r>
    <x v="297"/>
    <x v="262"/>
    <x v="297"/>
    <x v="6"/>
    <x v="1"/>
    <x v="297"/>
    <x v="251"/>
    <x v="2"/>
    <x v="2"/>
    <x v="297"/>
    <x v="0"/>
    <x v="0"/>
    <x v="0"/>
    <x v="296"/>
  </r>
  <r>
    <x v="298"/>
    <x v="263"/>
    <x v="298"/>
    <x v="4"/>
    <x v="3"/>
    <x v="298"/>
    <x v="40"/>
    <x v="1"/>
    <x v="1"/>
    <x v="298"/>
    <x v="5"/>
    <x v="2"/>
    <x v="2"/>
    <x v="297"/>
  </r>
  <r>
    <x v="299"/>
    <x v="264"/>
    <x v="299"/>
    <x v="0"/>
    <x v="2"/>
    <x v="299"/>
    <x v="252"/>
    <x v="3"/>
    <x v="1"/>
    <x v="299"/>
    <x v="7"/>
    <x v="1"/>
    <x v="0"/>
    <x v="298"/>
  </r>
  <r>
    <x v="300"/>
    <x v="265"/>
    <x v="300"/>
    <x v="1"/>
    <x v="2"/>
    <x v="300"/>
    <x v="253"/>
    <x v="0"/>
    <x v="2"/>
    <x v="300"/>
    <x v="1"/>
    <x v="1"/>
    <x v="3"/>
    <x v="299"/>
  </r>
  <r>
    <x v="301"/>
    <x v="67"/>
    <x v="301"/>
    <x v="3"/>
    <x v="2"/>
    <x v="301"/>
    <x v="254"/>
    <x v="4"/>
    <x v="1"/>
    <x v="301"/>
    <x v="7"/>
    <x v="0"/>
    <x v="2"/>
    <x v="300"/>
  </r>
  <r>
    <x v="302"/>
    <x v="220"/>
    <x v="302"/>
    <x v="3"/>
    <x v="4"/>
    <x v="302"/>
    <x v="255"/>
    <x v="4"/>
    <x v="4"/>
    <x v="302"/>
    <x v="4"/>
    <x v="1"/>
    <x v="0"/>
    <x v="301"/>
  </r>
  <r>
    <x v="303"/>
    <x v="34"/>
    <x v="303"/>
    <x v="2"/>
    <x v="2"/>
    <x v="303"/>
    <x v="256"/>
    <x v="0"/>
    <x v="2"/>
    <x v="303"/>
    <x v="9"/>
    <x v="2"/>
    <x v="4"/>
    <x v="302"/>
  </r>
  <r>
    <x v="304"/>
    <x v="266"/>
    <x v="304"/>
    <x v="0"/>
    <x v="0"/>
    <x v="304"/>
    <x v="257"/>
    <x v="3"/>
    <x v="3"/>
    <x v="304"/>
    <x v="8"/>
    <x v="1"/>
    <x v="0"/>
    <x v="303"/>
  </r>
  <r>
    <x v="305"/>
    <x v="97"/>
    <x v="305"/>
    <x v="5"/>
    <x v="3"/>
    <x v="305"/>
    <x v="258"/>
    <x v="4"/>
    <x v="4"/>
    <x v="305"/>
    <x v="6"/>
    <x v="1"/>
    <x v="0"/>
    <x v="304"/>
  </r>
  <r>
    <x v="306"/>
    <x v="267"/>
    <x v="306"/>
    <x v="4"/>
    <x v="1"/>
    <x v="306"/>
    <x v="259"/>
    <x v="0"/>
    <x v="2"/>
    <x v="306"/>
    <x v="1"/>
    <x v="0"/>
    <x v="0"/>
    <x v="305"/>
  </r>
  <r>
    <x v="307"/>
    <x v="268"/>
    <x v="307"/>
    <x v="5"/>
    <x v="4"/>
    <x v="307"/>
    <x v="260"/>
    <x v="1"/>
    <x v="3"/>
    <x v="307"/>
    <x v="4"/>
    <x v="2"/>
    <x v="2"/>
    <x v="306"/>
  </r>
  <r>
    <x v="308"/>
    <x v="66"/>
    <x v="308"/>
    <x v="4"/>
    <x v="4"/>
    <x v="308"/>
    <x v="156"/>
    <x v="0"/>
    <x v="2"/>
    <x v="308"/>
    <x v="0"/>
    <x v="0"/>
    <x v="0"/>
    <x v="307"/>
  </r>
  <r>
    <x v="309"/>
    <x v="269"/>
    <x v="309"/>
    <x v="3"/>
    <x v="3"/>
    <x v="309"/>
    <x v="261"/>
    <x v="0"/>
    <x v="3"/>
    <x v="309"/>
    <x v="4"/>
    <x v="1"/>
    <x v="3"/>
    <x v="308"/>
  </r>
  <r>
    <x v="310"/>
    <x v="270"/>
    <x v="310"/>
    <x v="4"/>
    <x v="4"/>
    <x v="310"/>
    <x v="262"/>
    <x v="1"/>
    <x v="0"/>
    <x v="310"/>
    <x v="4"/>
    <x v="2"/>
    <x v="1"/>
    <x v="309"/>
  </r>
  <r>
    <x v="311"/>
    <x v="271"/>
    <x v="311"/>
    <x v="6"/>
    <x v="0"/>
    <x v="311"/>
    <x v="263"/>
    <x v="1"/>
    <x v="2"/>
    <x v="311"/>
    <x v="2"/>
    <x v="2"/>
    <x v="0"/>
    <x v="310"/>
  </r>
  <r>
    <x v="312"/>
    <x v="272"/>
    <x v="312"/>
    <x v="4"/>
    <x v="0"/>
    <x v="312"/>
    <x v="196"/>
    <x v="3"/>
    <x v="4"/>
    <x v="312"/>
    <x v="0"/>
    <x v="1"/>
    <x v="1"/>
    <x v="311"/>
  </r>
  <r>
    <x v="313"/>
    <x v="273"/>
    <x v="313"/>
    <x v="3"/>
    <x v="1"/>
    <x v="313"/>
    <x v="264"/>
    <x v="4"/>
    <x v="3"/>
    <x v="313"/>
    <x v="0"/>
    <x v="0"/>
    <x v="0"/>
    <x v="312"/>
  </r>
  <r>
    <x v="314"/>
    <x v="274"/>
    <x v="314"/>
    <x v="6"/>
    <x v="3"/>
    <x v="314"/>
    <x v="265"/>
    <x v="1"/>
    <x v="3"/>
    <x v="314"/>
    <x v="4"/>
    <x v="1"/>
    <x v="1"/>
    <x v="313"/>
  </r>
  <r>
    <x v="315"/>
    <x v="275"/>
    <x v="315"/>
    <x v="2"/>
    <x v="0"/>
    <x v="315"/>
    <x v="266"/>
    <x v="1"/>
    <x v="1"/>
    <x v="315"/>
    <x v="6"/>
    <x v="1"/>
    <x v="2"/>
    <x v="314"/>
  </r>
  <r>
    <x v="316"/>
    <x v="276"/>
    <x v="316"/>
    <x v="6"/>
    <x v="3"/>
    <x v="316"/>
    <x v="267"/>
    <x v="3"/>
    <x v="0"/>
    <x v="316"/>
    <x v="6"/>
    <x v="3"/>
    <x v="3"/>
    <x v="315"/>
  </r>
  <r>
    <x v="317"/>
    <x v="132"/>
    <x v="317"/>
    <x v="0"/>
    <x v="1"/>
    <x v="317"/>
    <x v="268"/>
    <x v="1"/>
    <x v="2"/>
    <x v="317"/>
    <x v="3"/>
    <x v="2"/>
    <x v="0"/>
    <x v="316"/>
  </r>
  <r>
    <x v="318"/>
    <x v="277"/>
    <x v="318"/>
    <x v="3"/>
    <x v="4"/>
    <x v="318"/>
    <x v="186"/>
    <x v="0"/>
    <x v="1"/>
    <x v="318"/>
    <x v="0"/>
    <x v="0"/>
    <x v="4"/>
    <x v="317"/>
  </r>
  <r>
    <x v="319"/>
    <x v="278"/>
    <x v="319"/>
    <x v="5"/>
    <x v="1"/>
    <x v="319"/>
    <x v="269"/>
    <x v="4"/>
    <x v="2"/>
    <x v="319"/>
    <x v="5"/>
    <x v="2"/>
    <x v="0"/>
    <x v="318"/>
  </r>
  <r>
    <x v="320"/>
    <x v="36"/>
    <x v="320"/>
    <x v="4"/>
    <x v="2"/>
    <x v="320"/>
    <x v="270"/>
    <x v="2"/>
    <x v="0"/>
    <x v="320"/>
    <x v="9"/>
    <x v="1"/>
    <x v="3"/>
    <x v="319"/>
  </r>
  <r>
    <x v="321"/>
    <x v="279"/>
    <x v="321"/>
    <x v="1"/>
    <x v="3"/>
    <x v="321"/>
    <x v="260"/>
    <x v="0"/>
    <x v="1"/>
    <x v="321"/>
    <x v="5"/>
    <x v="3"/>
    <x v="4"/>
    <x v="320"/>
  </r>
  <r>
    <x v="322"/>
    <x v="280"/>
    <x v="322"/>
    <x v="1"/>
    <x v="0"/>
    <x v="322"/>
    <x v="268"/>
    <x v="0"/>
    <x v="3"/>
    <x v="322"/>
    <x v="5"/>
    <x v="0"/>
    <x v="3"/>
    <x v="321"/>
  </r>
  <r>
    <x v="323"/>
    <x v="281"/>
    <x v="323"/>
    <x v="5"/>
    <x v="2"/>
    <x v="323"/>
    <x v="271"/>
    <x v="0"/>
    <x v="2"/>
    <x v="323"/>
    <x v="9"/>
    <x v="0"/>
    <x v="1"/>
    <x v="322"/>
  </r>
  <r>
    <x v="324"/>
    <x v="136"/>
    <x v="324"/>
    <x v="2"/>
    <x v="4"/>
    <x v="324"/>
    <x v="272"/>
    <x v="0"/>
    <x v="2"/>
    <x v="324"/>
    <x v="3"/>
    <x v="2"/>
    <x v="1"/>
    <x v="323"/>
  </r>
  <r>
    <x v="325"/>
    <x v="282"/>
    <x v="325"/>
    <x v="6"/>
    <x v="4"/>
    <x v="325"/>
    <x v="273"/>
    <x v="2"/>
    <x v="0"/>
    <x v="325"/>
    <x v="2"/>
    <x v="2"/>
    <x v="1"/>
    <x v="324"/>
  </r>
  <r>
    <x v="326"/>
    <x v="283"/>
    <x v="326"/>
    <x v="5"/>
    <x v="0"/>
    <x v="326"/>
    <x v="19"/>
    <x v="3"/>
    <x v="2"/>
    <x v="326"/>
    <x v="3"/>
    <x v="0"/>
    <x v="3"/>
    <x v="325"/>
  </r>
  <r>
    <x v="327"/>
    <x v="284"/>
    <x v="327"/>
    <x v="1"/>
    <x v="2"/>
    <x v="327"/>
    <x v="61"/>
    <x v="3"/>
    <x v="1"/>
    <x v="327"/>
    <x v="3"/>
    <x v="0"/>
    <x v="2"/>
    <x v="326"/>
  </r>
  <r>
    <x v="328"/>
    <x v="285"/>
    <x v="328"/>
    <x v="2"/>
    <x v="0"/>
    <x v="328"/>
    <x v="274"/>
    <x v="1"/>
    <x v="1"/>
    <x v="328"/>
    <x v="0"/>
    <x v="0"/>
    <x v="4"/>
    <x v="327"/>
  </r>
  <r>
    <x v="329"/>
    <x v="286"/>
    <x v="329"/>
    <x v="3"/>
    <x v="3"/>
    <x v="329"/>
    <x v="212"/>
    <x v="2"/>
    <x v="0"/>
    <x v="329"/>
    <x v="5"/>
    <x v="2"/>
    <x v="4"/>
    <x v="328"/>
  </r>
  <r>
    <x v="330"/>
    <x v="287"/>
    <x v="330"/>
    <x v="6"/>
    <x v="0"/>
    <x v="330"/>
    <x v="275"/>
    <x v="3"/>
    <x v="4"/>
    <x v="330"/>
    <x v="3"/>
    <x v="0"/>
    <x v="0"/>
    <x v="329"/>
  </r>
  <r>
    <x v="331"/>
    <x v="288"/>
    <x v="331"/>
    <x v="4"/>
    <x v="4"/>
    <x v="331"/>
    <x v="112"/>
    <x v="1"/>
    <x v="3"/>
    <x v="331"/>
    <x v="0"/>
    <x v="0"/>
    <x v="3"/>
    <x v="330"/>
  </r>
  <r>
    <x v="332"/>
    <x v="289"/>
    <x v="332"/>
    <x v="6"/>
    <x v="0"/>
    <x v="332"/>
    <x v="276"/>
    <x v="0"/>
    <x v="4"/>
    <x v="332"/>
    <x v="6"/>
    <x v="0"/>
    <x v="4"/>
    <x v="331"/>
  </r>
  <r>
    <x v="333"/>
    <x v="162"/>
    <x v="333"/>
    <x v="1"/>
    <x v="2"/>
    <x v="333"/>
    <x v="277"/>
    <x v="2"/>
    <x v="2"/>
    <x v="333"/>
    <x v="3"/>
    <x v="3"/>
    <x v="0"/>
    <x v="332"/>
  </r>
  <r>
    <x v="334"/>
    <x v="290"/>
    <x v="334"/>
    <x v="3"/>
    <x v="3"/>
    <x v="334"/>
    <x v="278"/>
    <x v="1"/>
    <x v="3"/>
    <x v="334"/>
    <x v="0"/>
    <x v="3"/>
    <x v="3"/>
    <x v="333"/>
  </r>
  <r>
    <x v="335"/>
    <x v="291"/>
    <x v="335"/>
    <x v="2"/>
    <x v="4"/>
    <x v="335"/>
    <x v="264"/>
    <x v="3"/>
    <x v="0"/>
    <x v="335"/>
    <x v="4"/>
    <x v="2"/>
    <x v="2"/>
    <x v="334"/>
  </r>
  <r>
    <x v="336"/>
    <x v="10"/>
    <x v="336"/>
    <x v="5"/>
    <x v="2"/>
    <x v="336"/>
    <x v="279"/>
    <x v="0"/>
    <x v="4"/>
    <x v="336"/>
    <x v="4"/>
    <x v="0"/>
    <x v="0"/>
    <x v="335"/>
  </r>
  <r>
    <x v="337"/>
    <x v="292"/>
    <x v="337"/>
    <x v="2"/>
    <x v="4"/>
    <x v="337"/>
    <x v="280"/>
    <x v="0"/>
    <x v="2"/>
    <x v="337"/>
    <x v="2"/>
    <x v="3"/>
    <x v="2"/>
    <x v="336"/>
  </r>
  <r>
    <x v="338"/>
    <x v="293"/>
    <x v="338"/>
    <x v="1"/>
    <x v="0"/>
    <x v="338"/>
    <x v="281"/>
    <x v="0"/>
    <x v="0"/>
    <x v="338"/>
    <x v="8"/>
    <x v="2"/>
    <x v="1"/>
    <x v="337"/>
  </r>
  <r>
    <x v="339"/>
    <x v="294"/>
    <x v="339"/>
    <x v="4"/>
    <x v="1"/>
    <x v="339"/>
    <x v="282"/>
    <x v="1"/>
    <x v="4"/>
    <x v="339"/>
    <x v="1"/>
    <x v="0"/>
    <x v="0"/>
    <x v="338"/>
  </r>
  <r>
    <x v="340"/>
    <x v="295"/>
    <x v="340"/>
    <x v="5"/>
    <x v="0"/>
    <x v="340"/>
    <x v="283"/>
    <x v="4"/>
    <x v="1"/>
    <x v="340"/>
    <x v="2"/>
    <x v="2"/>
    <x v="2"/>
    <x v="339"/>
  </r>
  <r>
    <x v="341"/>
    <x v="296"/>
    <x v="341"/>
    <x v="2"/>
    <x v="2"/>
    <x v="341"/>
    <x v="284"/>
    <x v="3"/>
    <x v="0"/>
    <x v="341"/>
    <x v="3"/>
    <x v="3"/>
    <x v="2"/>
    <x v="340"/>
  </r>
  <r>
    <x v="342"/>
    <x v="53"/>
    <x v="342"/>
    <x v="0"/>
    <x v="0"/>
    <x v="342"/>
    <x v="285"/>
    <x v="3"/>
    <x v="2"/>
    <x v="342"/>
    <x v="3"/>
    <x v="2"/>
    <x v="1"/>
    <x v="341"/>
  </r>
  <r>
    <x v="343"/>
    <x v="297"/>
    <x v="343"/>
    <x v="4"/>
    <x v="2"/>
    <x v="343"/>
    <x v="286"/>
    <x v="0"/>
    <x v="4"/>
    <x v="343"/>
    <x v="1"/>
    <x v="1"/>
    <x v="3"/>
    <x v="342"/>
  </r>
  <r>
    <x v="344"/>
    <x v="298"/>
    <x v="344"/>
    <x v="2"/>
    <x v="4"/>
    <x v="344"/>
    <x v="287"/>
    <x v="1"/>
    <x v="1"/>
    <x v="344"/>
    <x v="1"/>
    <x v="0"/>
    <x v="0"/>
    <x v="343"/>
  </r>
  <r>
    <x v="345"/>
    <x v="173"/>
    <x v="345"/>
    <x v="2"/>
    <x v="0"/>
    <x v="345"/>
    <x v="288"/>
    <x v="3"/>
    <x v="0"/>
    <x v="345"/>
    <x v="8"/>
    <x v="1"/>
    <x v="1"/>
    <x v="344"/>
  </r>
  <r>
    <x v="346"/>
    <x v="299"/>
    <x v="346"/>
    <x v="2"/>
    <x v="2"/>
    <x v="346"/>
    <x v="289"/>
    <x v="4"/>
    <x v="4"/>
    <x v="346"/>
    <x v="5"/>
    <x v="2"/>
    <x v="1"/>
    <x v="345"/>
  </r>
  <r>
    <x v="347"/>
    <x v="300"/>
    <x v="347"/>
    <x v="4"/>
    <x v="3"/>
    <x v="347"/>
    <x v="290"/>
    <x v="2"/>
    <x v="4"/>
    <x v="347"/>
    <x v="3"/>
    <x v="0"/>
    <x v="4"/>
    <x v="346"/>
  </r>
  <r>
    <x v="348"/>
    <x v="206"/>
    <x v="348"/>
    <x v="5"/>
    <x v="4"/>
    <x v="348"/>
    <x v="291"/>
    <x v="0"/>
    <x v="2"/>
    <x v="348"/>
    <x v="0"/>
    <x v="1"/>
    <x v="2"/>
    <x v="347"/>
  </r>
  <r>
    <x v="349"/>
    <x v="115"/>
    <x v="349"/>
    <x v="3"/>
    <x v="2"/>
    <x v="349"/>
    <x v="292"/>
    <x v="3"/>
    <x v="3"/>
    <x v="349"/>
    <x v="7"/>
    <x v="1"/>
    <x v="4"/>
    <x v="348"/>
  </r>
  <r>
    <x v="350"/>
    <x v="301"/>
    <x v="350"/>
    <x v="3"/>
    <x v="1"/>
    <x v="350"/>
    <x v="293"/>
    <x v="1"/>
    <x v="0"/>
    <x v="350"/>
    <x v="5"/>
    <x v="2"/>
    <x v="0"/>
    <x v="349"/>
  </r>
  <r>
    <x v="351"/>
    <x v="302"/>
    <x v="351"/>
    <x v="5"/>
    <x v="2"/>
    <x v="351"/>
    <x v="294"/>
    <x v="0"/>
    <x v="3"/>
    <x v="351"/>
    <x v="4"/>
    <x v="2"/>
    <x v="0"/>
    <x v="350"/>
  </r>
  <r>
    <x v="352"/>
    <x v="303"/>
    <x v="352"/>
    <x v="3"/>
    <x v="0"/>
    <x v="352"/>
    <x v="295"/>
    <x v="0"/>
    <x v="4"/>
    <x v="352"/>
    <x v="2"/>
    <x v="3"/>
    <x v="0"/>
    <x v="351"/>
  </r>
  <r>
    <x v="353"/>
    <x v="210"/>
    <x v="353"/>
    <x v="2"/>
    <x v="2"/>
    <x v="353"/>
    <x v="296"/>
    <x v="1"/>
    <x v="3"/>
    <x v="353"/>
    <x v="3"/>
    <x v="1"/>
    <x v="4"/>
    <x v="352"/>
  </r>
  <r>
    <x v="354"/>
    <x v="304"/>
    <x v="354"/>
    <x v="1"/>
    <x v="2"/>
    <x v="354"/>
    <x v="297"/>
    <x v="0"/>
    <x v="0"/>
    <x v="354"/>
    <x v="4"/>
    <x v="2"/>
    <x v="0"/>
    <x v="353"/>
  </r>
  <r>
    <x v="355"/>
    <x v="305"/>
    <x v="355"/>
    <x v="2"/>
    <x v="4"/>
    <x v="355"/>
    <x v="298"/>
    <x v="2"/>
    <x v="1"/>
    <x v="355"/>
    <x v="4"/>
    <x v="1"/>
    <x v="1"/>
    <x v="354"/>
  </r>
  <r>
    <x v="356"/>
    <x v="306"/>
    <x v="356"/>
    <x v="4"/>
    <x v="0"/>
    <x v="356"/>
    <x v="299"/>
    <x v="3"/>
    <x v="1"/>
    <x v="356"/>
    <x v="8"/>
    <x v="1"/>
    <x v="0"/>
    <x v="355"/>
  </r>
  <r>
    <x v="357"/>
    <x v="307"/>
    <x v="357"/>
    <x v="5"/>
    <x v="0"/>
    <x v="357"/>
    <x v="282"/>
    <x v="0"/>
    <x v="3"/>
    <x v="357"/>
    <x v="2"/>
    <x v="1"/>
    <x v="0"/>
    <x v="356"/>
  </r>
  <r>
    <x v="358"/>
    <x v="158"/>
    <x v="358"/>
    <x v="2"/>
    <x v="1"/>
    <x v="358"/>
    <x v="300"/>
    <x v="1"/>
    <x v="1"/>
    <x v="358"/>
    <x v="1"/>
    <x v="0"/>
    <x v="4"/>
    <x v="357"/>
  </r>
  <r>
    <x v="359"/>
    <x v="308"/>
    <x v="359"/>
    <x v="6"/>
    <x v="3"/>
    <x v="359"/>
    <x v="301"/>
    <x v="0"/>
    <x v="3"/>
    <x v="359"/>
    <x v="3"/>
    <x v="3"/>
    <x v="1"/>
    <x v="358"/>
  </r>
  <r>
    <x v="360"/>
    <x v="309"/>
    <x v="360"/>
    <x v="1"/>
    <x v="3"/>
    <x v="360"/>
    <x v="302"/>
    <x v="4"/>
    <x v="4"/>
    <x v="360"/>
    <x v="2"/>
    <x v="2"/>
    <x v="0"/>
    <x v="359"/>
  </r>
  <r>
    <x v="361"/>
    <x v="310"/>
    <x v="361"/>
    <x v="4"/>
    <x v="0"/>
    <x v="361"/>
    <x v="303"/>
    <x v="2"/>
    <x v="3"/>
    <x v="361"/>
    <x v="6"/>
    <x v="0"/>
    <x v="3"/>
    <x v="360"/>
  </r>
  <r>
    <x v="362"/>
    <x v="78"/>
    <x v="362"/>
    <x v="0"/>
    <x v="3"/>
    <x v="362"/>
    <x v="304"/>
    <x v="4"/>
    <x v="1"/>
    <x v="362"/>
    <x v="3"/>
    <x v="3"/>
    <x v="0"/>
    <x v="361"/>
  </r>
  <r>
    <x v="363"/>
    <x v="75"/>
    <x v="363"/>
    <x v="5"/>
    <x v="0"/>
    <x v="363"/>
    <x v="42"/>
    <x v="2"/>
    <x v="4"/>
    <x v="363"/>
    <x v="5"/>
    <x v="0"/>
    <x v="2"/>
    <x v="362"/>
  </r>
  <r>
    <x v="364"/>
    <x v="254"/>
    <x v="364"/>
    <x v="1"/>
    <x v="0"/>
    <x v="364"/>
    <x v="240"/>
    <x v="4"/>
    <x v="1"/>
    <x v="364"/>
    <x v="6"/>
    <x v="1"/>
    <x v="3"/>
    <x v="363"/>
  </r>
  <r>
    <x v="365"/>
    <x v="311"/>
    <x v="365"/>
    <x v="1"/>
    <x v="2"/>
    <x v="365"/>
    <x v="276"/>
    <x v="2"/>
    <x v="1"/>
    <x v="365"/>
    <x v="4"/>
    <x v="0"/>
    <x v="1"/>
    <x v="364"/>
  </r>
  <r>
    <x v="366"/>
    <x v="312"/>
    <x v="366"/>
    <x v="4"/>
    <x v="4"/>
    <x v="366"/>
    <x v="305"/>
    <x v="0"/>
    <x v="4"/>
    <x v="366"/>
    <x v="2"/>
    <x v="2"/>
    <x v="1"/>
    <x v="365"/>
  </r>
  <r>
    <x v="367"/>
    <x v="313"/>
    <x v="367"/>
    <x v="5"/>
    <x v="0"/>
    <x v="367"/>
    <x v="220"/>
    <x v="3"/>
    <x v="4"/>
    <x v="367"/>
    <x v="8"/>
    <x v="1"/>
    <x v="0"/>
    <x v="366"/>
  </r>
  <r>
    <x v="368"/>
    <x v="31"/>
    <x v="368"/>
    <x v="0"/>
    <x v="4"/>
    <x v="368"/>
    <x v="306"/>
    <x v="2"/>
    <x v="1"/>
    <x v="368"/>
    <x v="5"/>
    <x v="2"/>
    <x v="4"/>
    <x v="367"/>
  </r>
  <r>
    <x v="369"/>
    <x v="70"/>
    <x v="369"/>
    <x v="0"/>
    <x v="0"/>
    <x v="369"/>
    <x v="307"/>
    <x v="3"/>
    <x v="4"/>
    <x v="369"/>
    <x v="6"/>
    <x v="0"/>
    <x v="2"/>
    <x v="368"/>
  </r>
  <r>
    <x v="370"/>
    <x v="120"/>
    <x v="370"/>
    <x v="1"/>
    <x v="2"/>
    <x v="370"/>
    <x v="308"/>
    <x v="1"/>
    <x v="1"/>
    <x v="370"/>
    <x v="4"/>
    <x v="3"/>
    <x v="3"/>
    <x v="369"/>
  </r>
  <r>
    <x v="371"/>
    <x v="314"/>
    <x v="371"/>
    <x v="1"/>
    <x v="0"/>
    <x v="371"/>
    <x v="12"/>
    <x v="3"/>
    <x v="4"/>
    <x v="371"/>
    <x v="6"/>
    <x v="1"/>
    <x v="4"/>
    <x v="370"/>
  </r>
  <r>
    <x v="372"/>
    <x v="311"/>
    <x v="372"/>
    <x v="3"/>
    <x v="4"/>
    <x v="372"/>
    <x v="309"/>
    <x v="4"/>
    <x v="2"/>
    <x v="372"/>
    <x v="4"/>
    <x v="2"/>
    <x v="1"/>
    <x v="371"/>
  </r>
  <r>
    <x v="373"/>
    <x v="315"/>
    <x v="373"/>
    <x v="5"/>
    <x v="4"/>
    <x v="373"/>
    <x v="310"/>
    <x v="4"/>
    <x v="4"/>
    <x v="373"/>
    <x v="4"/>
    <x v="1"/>
    <x v="0"/>
    <x v="372"/>
  </r>
  <r>
    <x v="374"/>
    <x v="316"/>
    <x v="374"/>
    <x v="0"/>
    <x v="2"/>
    <x v="374"/>
    <x v="67"/>
    <x v="3"/>
    <x v="4"/>
    <x v="374"/>
    <x v="9"/>
    <x v="3"/>
    <x v="0"/>
    <x v="373"/>
  </r>
  <r>
    <x v="375"/>
    <x v="317"/>
    <x v="375"/>
    <x v="0"/>
    <x v="3"/>
    <x v="375"/>
    <x v="311"/>
    <x v="1"/>
    <x v="0"/>
    <x v="375"/>
    <x v="2"/>
    <x v="1"/>
    <x v="3"/>
    <x v="374"/>
  </r>
  <r>
    <x v="376"/>
    <x v="318"/>
    <x v="376"/>
    <x v="0"/>
    <x v="0"/>
    <x v="376"/>
    <x v="312"/>
    <x v="0"/>
    <x v="4"/>
    <x v="376"/>
    <x v="5"/>
    <x v="1"/>
    <x v="3"/>
    <x v="375"/>
  </r>
  <r>
    <x v="377"/>
    <x v="319"/>
    <x v="377"/>
    <x v="0"/>
    <x v="2"/>
    <x v="377"/>
    <x v="261"/>
    <x v="1"/>
    <x v="4"/>
    <x v="377"/>
    <x v="3"/>
    <x v="3"/>
    <x v="0"/>
    <x v="376"/>
  </r>
  <r>
    <x v="378"/>
    <x v="320"/>
    <x v="378"/>
    <x v="3"/>
    <x v="0"/>
    <x v="378"/>
    <x v="313"/>
    <x v="2"/>
    <x v="4"/>
    <x v="378"/>
    <x v="2"/>
    <x v="3"/>
    <x v="0"/>
    <x v="377"/>
  </r>
  <r>
    <x v="379"/>
    <x v="321"/>
    <x v="379"/>
    <x v="1"/>
    <x v="4"/>
    <x v="379"/>
    <x v="161"/>
    <x v="1"/>
    <x v="0"/>
    <x v="379"/>
    <x v="5"/>
    <x v="2"/>
    <x v="4"/>
    <x v="378"/>
  </r>
  <r>
    <x v="380"/>
    <x v="322"/>
    <x v="380"/>
    <x v="4"/>
    <x v="3"/>
    <x v="380"/>
    <x v="230"/>
    <x v="4"/>
    <x v="4"/>
    <x v="380"/>
    <x v="3"/>
    <x v="0"/>
    <x v="0"/>
    <x v="379"/>
  </r>
  <r>
    <x v="381"/>
    <x v="323"/>
    <x v="381"/>
    <x v="3"/>
    <x v="2"/>
    <x v="381"/>
    <x v="44"/>
    <x v="2"/>
    <x v="2"/>
    <x v="381"/>
    <x v="9"/>
    <x v="1"/>
    <x v="0"/>
    <x v="380"/>
  </r>
  <r>
    <x v="382"/>
    <x v="324"/>
    <x v="382"/>
    <x v="4"/>
    <x v="3"/>
    <x v="382"/>
    <x v="314"/>
    <x v="0"/>
    <x v="0"/>
    <x v="382"/>
    <x v="2"/>
    <x v="0"/>
    <x v="4"/>
    <x v="381"/>
  </r>
  <r>
    <x v="383"/>
    <x v="325"/>
    <x v="383"/>
    <x v="3"/>
    <x v="3"/>
    <x v="383"/>
    <x v="87"/>
    <x v="2"/>
    <x v="4"/>
    <x v="383"/>
    <x v="0"/>
    <x v="0"/>
    <x v="2"/>
    <x v="382"/>
  </r>
  <r>
    <x v="384"/>
    <x v="167"/>
    <x v="384"/>
    <x v="3"/>
    <x v="4"/>
    <x v="384"/>
    <x v="315"/>
    <x v="2"/>
    <x v="2"/>
    <x v="384"/>
    <x v="4"/>
    <x v="1"/>
    <x v="3"/>
    <x v="383"/>
  </r>
  <r>
    <x v="385"/>
    <x v="150"/>
    <x v="385"/>
    <x v="3"/>
    <x v="0"/>
    <x v="385"/>
    <x v="60"/>
    <x v="3"/>
    <x v="3"/>
    <x v="385"/>
    <x v="5"/>
    <x v="1"/>
    <x v="3"/>
    <x v="384"/>
  </r>
  <r>
    <x v="386"/>
    <x v="200"/>
    <x v="386"/>
    <x v="2"/>
    <x v="2"/>
    <x v="386"/>
    <x v="316"/>
    <x v="1"/>
    <x v="2"/>
    <x v="386"/>
    <x v="4"/>
    <x v="2"/>
    <x v="2"/>
    <x v="385"/>
  </r>
  <r>
    <x v="387"/>
    <x v="326"/>
    <x v="387"/>
    <x v="4"/>
    <x v="1"/>
    <x v="387"/>
    <x v="8"/>
    <x v="2"/>
    <x v="0"/>
    <x v="387"/>
    <x v="1"/>
    <x v="3"/>
    <x v="4"/>
    <x v="386"/>
  </r>
  <r>
    <x v="388"/>
    <x v="153"/>
    <x v="388"/>
    <x v="4"/>
    <x v="4"/>
    <x v="388"/>
    <x v="94"/>
    <x v="4"/>
    <x v="4"/>
    <x v="388"/>
    <x v="0"/>
    <x v="3"/>
    <x v="3"/>
    <x v="387"/>
  </r>
  <r>
    <x v="389"/>
    <x v="327"/>
    <x v="389"/>
    <x v="6"/>
    <x v="3"/>
    <x v="389"/>
    <x v="317"/>
    <x v="4"/>
    <x v="0"/>
    <x v="389"/>
    <x v="0"/>
    <x v="1"/>
    <x v="1"/>
    <x v="388"/>
  </r>
  <r>
    <x v="390"/>
    <x v="328"/>
    <x v="390"/>
    <x v="4"/>
    <x v="0"/>
    <x v="390"/>
    <x v="291"/>
    <x v="4"/>
    <x v="3"/>
    <x v="390"/>
    <x v="8"/>
    <x v="1"/>
    <x v="4"/>
    <x v="389"/>
  </r>
  <r>
    <x v="391"/>
    <x v="317"/>
    <x v="391"/>
    <x v="5"/>
    <x v="1"/>
    <x v="391"/>
    <x v="244"/>
    <x v="0"/>
    <x v="1"/>
    <x v="391"/>
    <x v="1"/>
    <x v="1"/>
    <x v="1"/>
    <x v="390"/>
  </r>
  <r>
    <x v="392"/>
    <x v="329"/>
    <x v="392"/>
    <x v="1"/>
    <x v="2"/>
    <x v="392"/>
    <x v="303"/>
    <x v="1"/>
    <x v="3"/>
    <x v="392"/>
    <x v="9"/>
    <x v="3"/>
    <x v="2"/>
    <x v="391"/>
  </r>
  <r>
    <x v="393"/>
    <x v="330"/>
    <x v="393"/>
    <x v="4"/>
    <x v="2"/>
    <x v="393"/>
    <x v="318"/>
    <x v="2"/>
    <x v="2"/>
    <x v="393"/>
    <x v="1"/>
    <x v="2"/>
    <x v="4"/>
    <x v="392"/>
  </r>
  <r>
    <x v="394"/>
    <x v="176"/>
    <x v="394"/>
    <x v="6"/>
    <x v="0"/>
    <x v="394"/>
    <x v="319"/>
    <x v="3"/>
    <x v="0"/>
    <x v="394"/>
    <x v="8"/>
    <x v="2"/>
    <x v="3"/>
    <x v="393"/>
  </r>
  <r>
    <x v="395"/>
    <x v="331"/>
    <x v="395"/>
    <x v="1"/>
    <x v="4"/>
    <x v="395"/>
    <x v="32"/>
    <x v="3"/>
    <x v="3"/>
    <x v="395"/>
    <x v="0"/>
    <x v="0"/>
    <x v="1"/>
    <x v="394"/>
  </r>
  <r>
    <x v="396"/>
    <x v="142"/>
    <x v="396"/>
    <x v="2"/>
    <x v="0"/>
    <x v="396"/>
    <x v="320"/>
    <x v="1"/>
    <x v="0"/>
    <x v="396"/>
    <x v="8"/>
    <x v="0"/>
    <x v="2"/>
    <x v="395"/>
  </r>
  <r>
    <x v="397"/>
    <x v="332"/>
    <x v="397"/>
    <x v="0"/>
    <x v="2"/>
    <x v="397"/>
    <x v="321"/>
    <x v="1"/>
    <x v="1"/>
    <x v="397"/>
    <x v="9"/>
    <x v="3"/>
    <x v="1"/>
    <x v="396"/>
  </r>
  <r>
    <x v="398"/>
    <x v="333"/>
    <x v="398"/>
    <x v="1"/>
    <x v="0"/>
    <x v="398"/>
    <x v="182"/>
    <x v="3"/>
    <x v="0"/>
    <x v="398"/>
    <x v="0"/>
    <x v="0"/>
    <x v="0"/>
    <x v="397"/>
  </r>
  <r>
    <x v="399"/>
    <x v="334"/>
    <x v="399"/>
    <x v="2"/>
    <x v="0"/>
    <x v="399"/>
    <x v="322"/>
    <x v="0"/>
    <x v="2"/>
    <x v="399"/>
    <x v="3"/>
    <x v="1"/>
    <x v="3"/>
    <x v="398"/>
  </r>
  <r>
    <x v="400"/>
    <x v="335"/>
    <x v="400"/>
    <x v="6"/>
    <x v="3"/>
    <x v="400"/>
    <x v="323"/>
    <x v="0"/>
    <x v="2"/>
    <x v="400"/>
    <x v="6"/>
    <x v="3"/>
    <x v="0"/>
    <x v="399"/>
  </r>
  <r>
    <x v="401"/>
    <x v="23"/>
    <x v="401"/>
    <x v="4"/>
    <x v="2"/>
    <x v="401"/>
    <x v="303"/>
    <x v="0"/>
    <x v="2"/>
    <x v="401"/>
    <x v="5"/>
    <x v="2"/>
    <x v="1"/>
    <x v="400"/>
  </r>
  <r>
    <x v="402"/>
    <x v="336"/>
    <x v="402"/>
    <x v="4"/>
    <x v="0"/>
    <x v="402"/>
    <x v="324"/>
    <x v="3"/>
    <x v="0"/>
    <x v="402"/>
    <x v="3"/>
    <x v="2"/>
    <x v="1"/>
    <x v="401"/>
  </r>
  <r>
    <x v="403"/>
    <x v="337"/>
    <x v="403"/>
    <x v="2"/>
    <x v="2"/>
    <x v="403"/>
    <x v="240"/>
    <x v="1"/>
    <x v="2"/>
    <x v="403"/>
    <x v="9"/>
    <x v="1"/>
    <x v="1"/>
    <x v="402"/>
  </r>
  <r>
    <x v="404"/>
    <x v="338"/>
    <x v="404"/>
    <x v="0"/>
    <x v="1"/>
    <x v="404"/>
    <x v="63"/>
    <x v="4"/>
    <x v="3"/>
    <x v="404"/>
    <x v="5"/>
    <x v="2"/>
    <x v="0"/>
    <x v="403"/>
  </r>
  <r>
    <x v="405"/>
    <x v="281"/>
    <x v="405"/>
    <x v="0"/>
    <x v="3"/>
    <x v="405"/>
    <x v="305"/>
    <x v="1"/>
    <x v="1"/>
    <x v="405"/>
    <x v="0"/>
    <x v="3"/>
    <x v="2"/>
    <x v="404"/>
  </r>
  <r>
    <x v="406"/>
    <x v="339"/>
    <x v="406"/>
    <x v="2"/>
    <x v="3"/>
    <x v="406"/>
    <x v="167"/>
    <x v="4"/>
    <x v="2"/>
    <x v="406"/>
    <x v="6"/>
    <x v="3"/>
    <x v="4"/>
    <x v="405"/>
  </r>
  <r>
    <x v="407"/>
    <x v="340"/>
    <x v="407"/>
    <x v="2"/>
    <x v="3"/>
    <x v="407"/>
    <x v="224"/>
    <x v="4"/>
    <x v="2"/>
    <x v="407"/>
    <x v="2"/>
    <x v="1"/>
    <x v="0"/>
    <x v="406"/>
  </r>
  <r>
    <x v="408"/>
    <x v="341"/>
    <x v="408"/>
    <x v="4"/>
    <x v="4"/>
    <x v="408"/>
    <x v="325"/>
    <x v="1"/>
    <x v="4"/>
    <x v="408"/>
    <x v="5"/>
    <x v="3"/>
    <x v="4"/>
    <x v="407"/>
  </r>
  <r>
    <x v="409"/>
    <x v="342"/>
    <x v="409"/>
    <x v="6"/>
    <x v="0"/>
    <x v="409"/>
    <x v="326"/>
    <x v="1"/>
    <x v="3"/>
    <x v="409"/>
    <x v="6"/>
    <x v="0"/>
    <x v="4"/>
    <x v="408"/>
  </r>
  <r>
    <x v="410"/>
    <x v="343"/>
    <x v="410"/>
    <x v="2"/>
    <x v="1"/>
    <x v="410"/>
    <x v="327"/>
    <x v="0"/>
    <x v="0"/>
    <x v="410"/>
    <x v="3"/>
    <x v="2"/>
    <x v="2"/>
    <x v="409"/>
  </r>
  <r>
    <x v="411"/>
    <x v="83"/>
    <x v="411"/>
    <x v="6"/>
    <x v="1"/>
    <x v="411"/>
    <x v="139"/>
    <x v="1"/>
    <x v="0"/>
    <x v="411"/>
    <x v="3"/>
    <x v="2"/>
    <x v="3"/>
    <x v="410"/>
  </r>
  <r>
    <x v="412"/>
    <x v="344"/>
    <x v="412"/>
    <x v="2"/>
    <x v="0"/>
    <x v="412"/>
    <x v="328"/>
    <x v="2"/>
    <x v="2"/>
    <x v="412"/>
    <x v="8"/>
    <x v="2"/>
    <x v="3"/>
    <x v="411"/>
  </r>
  <r>
    <x v="413"/>
    <x v="345"/>
    <x v="413"/>
    <x v="2"/>
    <x v="2"/>
    <x v="413"/>
    <x v="329"/>
    <x v="1"/>
    <x v="3"/>
    <x v="413"/>
    <x v="5"/>
    <x v="0"/>
    <x v="2"/>
    <x v="412"/>
  </r>
  <r>
    <x v="414"/>
    <x v="346"/>
    <x v="414"/>
    <x v="6"/>
    <x v="1"/>
    <x v="414"/>
    <x v="330"/>
    <x v="4"/>
    <x v="3"/>
    <x v="414"/>
    <x v="4"/>
    <x v="3"/>
    <x v="3"/>
    <x v="413"/>
  </r>
  <r>
    <x v="415"/>
    <x v="161"/>
    <x v="415"/>
    <x v="3"/>
    <x v="2"/>
    <x v="415"/>
    <x v="229"/>
    <x v="3"/>
    <x v="0"/>
    <x v="415"/>
    <x v="3"/>
    <x v="1"/>
    <x v="3"/>
    <x v="414"/>
  </r>
  <r>
    <x v="416"/>
    <x v="202"/>
    <x v="416"/>
    <x v="5"/>
    <x v="1"/>
    <x v="416"/>
    <x v="331"/>
    <x v="3"/>
    <x v="1"/>
    <x v="416"/>
    <x v="3"/>
    <x v="3"/>
    <x v="1"/>
    <x v="415"/>
  </r>
  <r>
    <x v="417"/>
    <x v="347"/>
    <x v="417"/>
    <x v="5"/>
    <x v="0"/>
    <x v="417"/>
    <x v="332"/>
    <x v="1"/>
    <x v="1"/>
    <x v="417"/>
    <x v="3"/>
    <x v="2"/>
    <x v="4"/>
    <x v="416"/>
  </r>
  <r>
    <x v="418"/>
    <x v="348"/>
    <x v="418"/>
    <x v="4"/>
    <x v="2"/>
    <x v="418"/>
    <x v="333"/>
    <x v="1"/>
    <x v="1"/>
    <x v="418"/>
    <x v="1"/>
    <x v="2"/>
    <x v="3"/>
    <x v="417"/>
  </r>
  <r>
    <x v="419"/>
    <x v="349"/>
    <x v="419"/>
    <x v="2"/>
    <x v="1"/>
    <x v="419"/>
    <x v="291"/>
    <x v="0"/>
    <x v="4"/>
    <x v="419"/>
    <x v="5"/>
    <x v="1"/>
    <x v="0"/>
    <x v="418"/>
  </r>
  <r>
    <x v="420"/>
    <x v="350"/>
    <x v="420"/>
    <x v="1"/>
    <x v="2"/>
    <x v="420"/>
    <x v="334"/>
    <x v="0"/>
    <x v="0"/>
    <x v="420"/>
    <x v="3"/>
    <x v="1"/>
    <x v="0"/>
    <x v="419"/>
  </r>
  <r>
    <x v="421"/>
    <x v="3"/>
    <x v="421"/>
    <x v="3"/>
    <x v="1"/>
    <x v="421"/>
    <x v="335"/>
    <x v="0"/>
    <x v="1"/>
    <x v="421"/>
    <x v="3"/>
    <x v="2"/>
    <x v="2"/>
    <x v="420"/>
  </r>
  <r>
    <x v="422"/>
    <x v="32"/>
    <x v="422"/>
    <x v="1"/>
    <x v="3"/>
    <x v="422"/>
    <x v="16"/>
    <x v="3"/>
    <x v="2"/>
    <x v="422"/>
    <x v="5"/>
    <x v="3"/>
    <x v="1"/>
    <x v="421"/>
  </r>
  <r>
    <x v="423"/>
    <x v="351"/>
    <x v="423"/>
    <x v="4"/>
    <x v="3"/>
    <x v="423"/>
    <x v="241"/>
    <x v="3"/>
    <x v="1"/>
    <x v="423"/>
    <x v="5"/>
    <x v="3"/>
    <x v="4"/>
    <x v="422"/>
  </r>
  <r>
    <x v="424"/>
    <x v="352"/>
    <x v="424"/>
    <x v="3"/>
    <x v="0"/>
    <x v="424"/>
    <x v="268"/>
    <x v="4"/>
    <x v="4"/>
    <x v="424"/>
    <x v="8"/>
    <x v="2"/>
    <x v="2"/>
    <x v="423"/>
  </r>
  <r>
    <x v="425"/>
    <x v="338"/>
    <x v="425"/>
    <x v="5"/>
    <x v="1"/>
    <x v="425"/>
    <x v="336"/>
    <x v="3"/>
    <x v="2"/>
    <x v="425"/>
    <x v="3"/>
    <x v="3"/>
    <x v="2"/>
    <x v="424"/>
  </r>
  <r>
    <x v="426"/>
    <x v="353"/>
    <x v="426"/>
    <x v="0"/>
    <x v="0"/>
    <x v="426"/>
    <x v="337"/>
    <x v="4"/>
    <x v="1"/>
    <x v="426"/>
    <x v="8"/>
    <x v="2"/>
    <x v="3"/>
    <x v="425"/>
  </r>
  <r>
    <x v="427"/>
    <x v="144"/>
    <x v="427"/>
    <x v="6"/>
    <x v="2"/>
    <x v="427"/>
    <x v="338"/>
    <x v="2"/>
    <x v="4"/>
    <x v="427"/>
    <x v="1"/>
    <x v="3"/>
    <x v="0"/>
    <x v="426"/>
  </r>
  <r>
    <x v="428"/>
    <x v="130"/>
    <x v="428"/>
    <x v="3"/>
    <x v="3"/>
    <x v="428"/>
    <x v="30"/>
    <x v="1"/>
    <x v="1"/>
    <x v="428"/>
    <x v="2"/>
    <x v="3"/>
    <x v="2"/>
    <x v="427"/>
  </r>
  <r>
    <x v="429"/>
    <x v="36"/>
    <x v="429"/>
    <x v="4"/>
    <x v="3"/>
    <x v="429"/>
    <x v="101"/>
    <x v="2"/>
    <x v="4"/>
    <x v="429"/>
    <x v="6"/>
    <x v="0"/>
    <x v="3"/>
    <x v="428"/>
  </r>
  <r>
    <x v="430"/>
    <x v="323"/>
    <x v="430"/>
    <x v="1"/>
    <x v="2"/>
    <x v="430"/>
    <x v="339"/>
    <x v="3"/>
    <x v="0"/>
    <x v="430"/>
    <x v="5"/>
    <x v="1"/>
    <x v="4"/>
    <x v="429"/>
  </r>
  <r>
    <x v="431"/>
    <x v="354"/>
    <x v="431"/>
    <x v="4"/>
    <x v="2"/>
    <x v="431"/>
    <x v="143"/>
    <x v="0"/>
    <x v="1"/>
    <x v="431"/>
    <x v="5"/>
    <x v="3"/>
    <x v="3"/>
    <x v="430"/>
  </r>
  <r>
    <x v="432"/>
    <x v="355"/>
    <x v="432"/>
    <x v="2"/>
    <x v="1"/>
    <x v="432"/>
    <x v="340"/>
    <x v="2"/>
    <x v="2"/>
    <x v="432"/>
    <x v="5"/>
    <x v="2"/>
    <x v="1"/>
    <x v="431"/>
  </r>
  <r>
    <x v="433"/>
    <x v="46"/>
    <x v="433"/>
    <x v="0"/>
    <x v="4"/>
    <x v="433"/>
    <x v="214"/>
    <x v="2"/>
    <x v="2"/>
    <x v="433"/>
    <x v="1"/>
    <x v="1"/>
    <x v="3"/>
    <x v="432"/>
  </r>
  <r>
    <x v="434"/>
    <x v="356"/>
    <x v="434"/>
    <x v="4"/>
    <x v="0"/>
    <x v="434"/>
    <x v="65"/>
    <x v="2"/>
    <x v="2"/>
    <x v="434"/>
    <x v="5"/>
    <x v="2"/>
    <x v="3"/>
    <x v="433"/>
  </r>
  <r>
    <x v="435"/>
    <x v="156"/>
    <x v="435"/>
    <x v="4"/>
    <x v="2"/>
    <x v="435"/>
    <x v="267"/>
    <x v="0"/>
    <x v="2"/>
    <x v="435"/>
    <x v="1"/>
    <x v="1"/>
    <x v="0"/>
    <x v="434"/>
  </r>
  <r>
    <x v="436"/>
    <x v="91"/>
    <x v="436"/>
    <x v="5"/>
    <x v="3"/>
    <x v="436"/>
    <x v="143"/>
    <x v="1"/>
    <x v="4"/>
    <x v="436"/>
    <x v="3"/>
    <x v="2"/>
    <x v="4"/>
    <x v="435"/>
  </r>
  <r>
    <x v="437"/>
    <x v="171"/>
    <x v="437"/>
    <x v="1"/>
    <x v="2"/>
    <x v="437"/>
    <x v="341"/>
    <x v="1"/>
    <x v="3"/>
    <x v="437"/>
    <x v="7"/>
    <x v="1"/>
    <x v="0"/>
    <x v="436"/>
  </r>
  <r>
    <x v="438"/>
    <x v="195"/>
    <x v="438"/>
    <x v="2"/>
    <x v="4"/>
    <x v="438"/>
    <x v="342"/>
    <x v="3"/>
    <x v="4"/>
    <x v="438"/>
    <x v="1"/>
    <x v="0"/>
    <x v="0"/>
    <x v="437"/>
  </r>
  <r>
    <x v="439"/>
    <x v="50"/>
    <x v="439"/>
    <x v="2"/>
    <x v="2"/>
    <x v="439"/>
    <x v="343"/>
    <x v="1"/>
    <x v="0"/>
    <x v="439"/>
    <x v="4"/>
    <x v="3"/>
    <x v="3"/>
    <x v="438"/>
  </r>
  <r>
    <x v="440"/>
    <x v="357"/>
    <x v="440"/>
    <x v="6"/>
    <x v="3"/>
    <x v="440"/>
    <x v="264"/>
    <x v="0"/>
    <x v="4"/>
    <x v="440"/>
    <x v="4"/>
    <x v="0"/>
    <x v="3"/>
    <x v="439"/>
  </r>
  <r>
    <x v="441"/>
    <x v="141"/>
    <x v="441"/>
    <x v="4"/>
    <x v="1"/>
    <x v="441"/>
    <x v="344"/>
    <x v="3"/>
    <x v="2"/>
    <x v="441"/>
    <x v="5"/>
    <x v="1"/>
    <x v="2"/>
    <x v="440"/>
  </r>
  <r>
    <x v="442"/>
    <x v="40"/>
    <x v="442"/>
    <x v="3"/>
    <x v="0"/>
    <x v="442"/>
    <x v="345"/>
    <x v="4"/>
    <x v="4"/>
    <x v="442"/>
    <x v="2"/>
    <x v="0"/>
    <x v="0"/>
    <x v="441"/>
  </r>
  <r>
    <x v="443"/>
    <x v="358"/>
    <x v="443"/>
    <x v="3"/>
    <x v="1"/>
    <x v="443"/>
    <x v="59"/>
    <x v="4"/>
    <x v="2"/>
    <x v="443"/>
    <x v="5"/>
    <x v="2"/>
    <x v="3"/>
    <x v="442"/>
  </r>
  <r>
    <x v="444"/>
    <x v="180"/>
    <x v="444"/>
    <x v="4"/>
    <x v="2"/>
    <x v="444"/>
    <x v="346"/>
    <x v="1"/>
    <x v="0"/>
    <x v="444"/>
    <x v="5"/>
    <x v="1"/>
    <x v="0"/>
    <x v="443"/>
  </r>
  <r>
    <x v="445"/>
    <x v="230"/>
    <x v="445"/>
    <x v="1"/>
    <x v="2"/>
    <x v="445"/>
    <x v="347"/>
    <x v="4"/>
    <x v="3"/>
    <x v="445"/>
    <x v="1"/>
    <x v="0"/>
    <x v="1"/>
    <x v="444"/>
  </r>
  <r>
    <x v="446"/>
    <x v="359"/>
    <x v="446"/>
    <x v="5"/>
    <x v="0"/>
    <x v="446"/>
    <x v="348"/>
    <x v="1"/>
    <x v="3"/>
    <x v="446"/>
    <x v="5"/>
    <x v="1"/>
    <x v="0"/>
    <x v="445"/>
  </r>
  <r>
    <x v="447"/>
    <x v="158"/>
    <x v="447"/>
    <x v="4"/>
    <x v="1"/>
    <x v="447"/>
    <x v="349"/>
    <x v="4"/>
    <x v="2"/>
    <x v="447"/>
    <x v="7"/>
    <x v="2"/>
    <x v="3"/>
    <x v="446"/>
  </r>
  <r>
    <x v="448"/>
    <x v="355"/>
    <x v="448"/>
    <x v="5"/>
    <x v="1"/>
    <x v="448"/>
    <x v="350"/>
    <x v="4"/>
    <x v="4"/>
    <x v="448"/>
    <x v="4"/>
    <x v="0"/>
    <x v="0"/>
    <x v="447"/>
  </r>
  <r>
    <x v="449"/>
    <x v="360"/>
    <x v="449"/>
    <x v="2"/>
    <x v="4"/>
    <x v="449"/>
    <x v="351"/>
    <x v="1"/>
    <x v="4"/>
    <x v="449"/>
    <x v="1"/>
    <x v="2"/>
    <x v="0"/>
    <x v="448"/>
  </r>
  <r>
    <x v="450"/>
    <x v="361"/>
    <x v="450"/>
    <x v="0"/>
    <x v="0"/>
    <x v="450"/>
    <x v="352"/>
    <x v="3"/>
    <x v="2"/>
    <x v="450"/>
    <x v="8"/>
    <x v="3"/>
    <x v="0"/>
    <x v="449"/>
  </r>
  <r>
    <x v="451"/>
    <x v="362"/>
    <x v="451"/>
    <x v="0"/>
    <x v="2"/>
    <x v="451"/>
    <x v="97"/>
    <x v="0"/>
    <x v="1"/>
    <x v="451"/>
    <x v="5"/>
    <x v="0"/>
    <x v="2"/>
    <x v="450"/>
  </r>
  <r>
    <x v="452"/>
    <x v="363"/>
    <x v="452"/>
    <x v="4"/>
    <x v="2"/>
    <x v="452"/>
    <x v="353"/>
    <x v="4"/>
    <x v="4"/>
    <x v="452"/>
    <x v="3"/>
    <x v="0"/>
    <x v="4"/>
    <x v="451"/>
  </r>
  <r>
    <x v="453"/>
    <x v="201"/>
    <x v="453"/>
    <x v="2"/>
    <x v="2"/>
    <x v="453"/>
    <x v="354"/>
    <x v="4"/>
    <x v="0"/>
    <x v="453"/>
    <x v="9"/>
    <x v="3"/>
    <x v="3"/>
    <x v="452"/>
  </r>
  <r>
    <x v="454"/>
    <x v="364"/>
    <x v="454"/>
    <x v="5"/>
    <x v="2"/>
    <x v="454"/>
    <x v="355"/>
    <x v="0"/>
    <x v="1"/>
    <x v="454"/>
    <x v="3"/>
    <x v="1"/>
    <x v="4"/>
    <x v="453"/>
  </r>
  <r>
    <x v="455"/>
    <x v="290"/>
    <x v="455"/>
    <x v="1"/>
    <x v="2"/>
    <x v="455"/>
    <x v="356"/>
    <x v="0"/>
    <x v="4"/>
    <x v="455"/>
    <x v="7"/>
    <x v="0"/>
    <x v="1"/>
    <x v="454"/>
  </r>
  <r>
    <x v="456"/>
    <x v="365"/>
    <x v="456"/>
    <x v="6"/>
    <x v="0"/>
    <x v="456"/>
    <x v="288"/>
    <x v="2"/>
    <x v="0"/>
    <x v="456"/>
    <x v="6"/>
    <x v="0"/>
    <x v="3"/>
    <x v="455"/>
  </r>
  <r>
    <x v="457"/>
    <x v="366"/>
    <x v="457"/>
    <x v="6"/>
    <x v="3"/>
    <x v="457"/>
    <x v="357"/>
    <x v="1"/>
    <x v="2"/>
    <x v="457"/>
    <x v="4"/>
    <x v="3"/>
    <x v="0"/>
    <x v="456"/>
  </r>
  <r>
    <x v="458"/>
    <x v="367"/>
    <x v="458"/>
    <x v="0"/>
    <x v="3"/>
    <x v="458"/>
    <x v="85"/>
    <x v="2"/>
    <x v="2"/>
    <x v="458"/>
    <x v="0"/>
    <x v="3"/>
    <x v="2"/>
    <x v="457"/>
  </r>
  <r>
    <x v="459"/>
    <x v="25"/>
    <x v="459"/>
    <x v="6"/>
    <x v="2"/>
    <x v="459"/>
    <x v="339"/>
    <x v="2"/>
    <x v="2"/>
    <x v="459"/>
    <x v="7"/>
    <x v="2"/>
    <x v="0"/>
    <x v="458"/>
  </r>
  <r>
    <x v="460"/>
    <x v="354"/>
    <x v="460"/>
    <x v="5"/>
    <x v="2"/>
    <x v="460"/>
    <x v="358"/>
    <x v="4"/>
    <x v="2"/>
    <x v="460"/>
    <x v="7"/>
    <x v="3"/>
    <x v="1"/>
    <x v="459"/>
  </r>
  <r>
    <x v="461"/>
    <x v="180"/>
    <x v="461"/>
    <x v="2"/>
    <x v="2"/>
    <x v="461"/>
    <x v="208"/>
    <x v="2"/>
    <x v="0"/>
    <x v="461"/>
    <x v="3"/>
    <x v="1"/>
    <x v="4"/>
    <x v="460"/>
  </r>
  <r>
    <x v="462"/>
    <x v="368"/>
    <x v="462"/>
    <x v="1"/>
    <x v="2"/>
    <x v="462"/>
    <x v="359"/>
    <x v="1"/>
    <x v="1"/>
    <x v="462"/>
    <x v="9"/>
    <x v="2"/>
    <x v="1"/>
    <x v="461"/>
  </r>
  <r>
    <x v="463"/>
    <x v="68"/>
    <x v="463"/>
    <x v="5"/>
    <x v="0"/>
    <x v="463"/>
    <x v="360"/>
    <x v="0"/>
    <x v="0"/>
    <x v="463"/>
    <x v="6"/>
    <x v="0"/>
    <x v="0"/>
    <x v="462"/>
  </r>
  <r>
    <x v="464"/>
    <x v="369"/>
    <x v="464"/>
    <x v="2"/>
    <x v="3"/>
    <x v="464"/>
    <x v="361"/>
    <x v="1"/>
    <x v="1"/>
    <x v="464"/>
    <x v="5"/>
    <x v="1"/>
    <x v="4"/>
    <x v="463"/>
  </r>
  <r>
    <x v="465"/>
    <x v="235"/>
    <x v="465"/>
    <x v="4"/>
    <x v="0"/>
    <x v="465"/>
    <x v="362"/>
    <x v="3"/>
    <x v="1"/>
    <x v="465"/>
    <x v="2"/>
    <x v="2"/>
    <x v="4"/>
    <x v="464"/>
  </r>
  <r>
    <x v="466"/>
    <x v="202"/>
    <x v="466"/>
    <x v="1"/>
    <x v="2"/>
    <x v="466"/>
    <x v="30"/>
    <x v="4"/>
    <x v="3"/>
    <x v="466"/>
    <x v="4"/>
    <x v="1"/>
    <x v="1"/>
    <x v="465"/>
  </r>
  <r>
    <x v="467"/>
    <x v="225"/>
    <x v="467"/>
    <x v="6"/>
    <x v="2"/>
    <x v="467"/>
    <x v="167"/>
    <x v="4"/>
    <x v="1"/>
    <x v="467"/>
    <x v="7"/>
    <x v="3"/>
    <x v="2"/>
    <x v="466"/>
  </r>
  <r>
    <x v="468"/>
    <x v="370"/>
    <x v="468"/>
    <x v="1"/>
    <x v="2"/>
    <x v="468"/>
    <x v="363"/>
    <x v="2"/>
    <x v="3"/>
    <x v="468"/>
    <x v="3"/>
    <x v="1"/>
    <x v="2"/>
    <x v="467"/>
  </r>
  <r>
    <x v="469"/>
    <x v="371"/>
    <x v="469"/>
    <x v="3"/>
    <x v="0"/>
    <x v="469"/>
    <x v="136"/>
    <x v="4"/>
    <x v="1"/>
    <x v="469"/>
    <x v="3"/>
    <x v="2"/>
    <x v="3"/>
    <x v="468"/>
  </r>
  <r>
    <x v="470"/>
    <x v="372"/>
    <x v="470"/>
    <x v="2"/>
    <x v="3"/>
    <x v="470"/>
    <x v="364"/>
    <x v="4"/>
    <x v="0"/>
    <x v="470"/>
    <x v="3"/>
    <x v="0"/>
    <x v="2"/>
    <x v="469"/>
  </r>
  <r>
    <x v="471"/>
    <x v="373"/>
    <x v="471"/>
    <x v="6"/>
    <x v="0"/>
    <x v="471"/>
    <x v="365"/>
    <x v="1"/>
    <x v="1"/>
    <x v="471"/>
    <x v="0"/>
    <x v="1"/>
    <x v="1"/>
    <x v="470"/>
  </r>
  <r>
    <x v="472"/>
    <x v="374"/>
    <x v="472"/>
    <x v="3"/>
    <x v="4"/>
    <x v="472"/>
    <x v="366"/>
    <x v="2"/>
    <x v="1"/>
    <x v="472"/>
    <x v="2"/>
    <x v="1"/>
    <x v="1"/>
    <x v="471"/>
  </r>
  <r>
    <x v="473"/>
    <x v="86"/>
    <x v="473"/>
    <x v="3"/>
    <x v="1"/>
    <x v="473"/>
    <x v="367"/>
    <x v="1"/>
    <x v="0"/>
    <x v="473"/>
    <x v="4"/>
    <x v="2"/>
    <x v="3"/>
    <x v="472"/>
  </r>
  <r>
    <x v="474"/>
    <x v="375"/>
    <x v="474"/>
    <x v="4"/>
    <x v="4"/>
    <x v="474"/>
    <x v="282"/>
    <x v="2"/>
    <x v="0"/>
    <x v="474"/>
    <x v="5"/>
    <x v="0"/>
    <x v="1"/>
    <x v="473"/>
  </r>
  <r>
    <x v="475"/>
    <x v="373"/>
    <x v="475"/>
    <x v="2"/>
    <x v="1"/>
    <x v="475"/>
    <x v="368"/>
    <x v="4"/>
    <x v="1"/>
    <x v="475"/>
    <x v="1"/>
    <x v="0"/>
    <x v="3"/>
    <x v="474"/>
  </r>
  <r>
    <x v="476"/>
    <x v="361"/>
    <x v="476"/>
    <x v="1"/>
    <x v="1"/>
    <x v="476"/>
    <x v="369"/>
    <x v="1"/>
    <x v="2"/>
    <x v="476"/>
    <x v="4"/>
    <x v="1"/>
    <x v="1"/>
    <x v="475"/>
  </r>
  <r>
    <x v="477"/>
    <x v="376"/>
    <x v="477"/>
    <x v="1"/>
    <x v="1"/>
    <x v="477"/>
    <x v="370"/>
    <x v="1"/>
    <x v="0"/>
    <x v="477"/>
    <x v="3"/>
    <x v="0"/>
    <x v="4"/>
    <x v="476"/>
  </r>
  <r>
    <x v="478"/>
    <x v="377"/>
    <x v="478"/>
    <x v="2"/>
    <x v="4"/>
    <x v="478"/>
    <x v="16"/>
    <x v="3"/>
    <x v="0"/>
    <x v="478"/>
    <x v="5"/>
    <x v="1"/>
    <x v="1"/>
    <x v="477"/>
  </r>
  <r>
    <x v="479"/>
    <x v="378"/>
    <x v="479"/>
    <x v="0"/>
    <x v="3"/>
    <x v="479"/>
    <x v="371"/>
    <x v="2"/>
    <x v="4"/>
    <x v="479"/>
    <x v="2"/>
    <x v="2"/>
    <x v="4"/>
    <x v="478"/>
  </r>
  <r>
    <x v="480"/>
    <x v="379"/>
    <x v="480"/>
    <x v="3"/>
    <x v="2"/>
    <x v="480"/>
    <x v="99"/>
    <x v="0"/>
    <x v="4"/>
    <x v="480"/>
    <x v="5"/>
    <x v="1"/>
    <x v="1"/>
    <x v="479"/>
  </r>
  <r>
    <x v="481"/>
    <x v="295"/>
    <x v="481"/>
    <x v="5"/>
    <x v="3"/>
    <x v="481"/>
    <x v="186"/>
    <x v="0"/>
    <x v="3"/>
    <x v="481"/>
    <x v="3"/>
    <x v="3"/>
    <x v="1"/>
    <x v="480"/>
  </r>
  <r>
    <x v="482"/>
    <x v="380"/>
    <x v="482"/>
    <x v="0"/>
    <x v="4"/>
    <x v="482"/>
    <x v="77"/>
    <x v="1"/>
    <x v="4"/>
    <x v="482"/>
    <x v="5"/>
    <x v="2"/>
    <x v="0"/>
    <x v="481"/>
  </r>
  <r>
    <x v="483"/>
    <x v="381"/>
    <x v="483"/>
    <x v="1"/>
    <x v="0"/>
    <x v="483"/>
    <x v="372"/>
    <x v="4"/>
    <x v="4"/>
    <x v="483"/>
    <x v="5"/>
    <x v="3"/>
    <x v="4"/>
    <x v="482"/>
  </r>
  <r>
    <x v="484"/>
    <x v="382"/>
    <x v="484"/>
    <x v="3"/>
    <x v="3"/>
    <x v="484"/>
    <x v="326"/>
    <x v="4"/>
    <x v="1"/>
    <x v="484"/>
    <x v="5"/>
    <x v="2"/>
    <x v="3"/>
    <x v="483"/>
  </r>
  <r>
    <x v="485"/>
    <x v="383"/>
    <x v="485"/>
    <x v="3"/>
    <x v="4"/>
    <x v="485"/>
    <x v="373"/>
    <x v="4"/>
    <x v="0"/>
    <x v="485"/>
    <x v="5"/>
    <x v="0"/>
    <x v="0"/>
    <x v="484"/>
  </r>
  <r>
    <x v="486"/>
    <x v="384"/>
    <x v="486"/>
    <x v="4"/>
    <x v="3"/>
    <x v="486"/>
    <x v="317"/>
    <x v="4"/>
    <x v="0"/>
    <x v="486"/>
    <x v="3"/>
    <x v="0"/>
    <x v="1"/>
    <x v="485"/>
  </r>
  <r>
    <x v="487"/>
    <x v="338"/>
    <x v="487"/>
    <x v="4"/>
    <x v="4"/>
    <x v="487"/>
    <x v="374"/>
    <x v="2"/>
    <x v="4"/>
    <x v="487"/>
    <x v="1"/>
    <x v="0"/>
    <x v="4"/>
    <x v="486"/>
  </r>
  <r>
    <x v="488"/>
    <x v="194"/>
    <x v="488"/>
    <x v="3"/>
    <x v="2"/>
    <x v="488"/>
    <x v="375"/>
    <x v="1"/>
    <x v="1"/>
    <x v="488"/>
    <x v="9"/>
    <x v="3"/>
    <x v="2"/>
    <x v="487"/>
  </r>
  <r>
    <x v="489"/>
    <x v="189"/>
    <x v="489"/>
    <x v="2"/>
    <x v="4"/>
    <x v="489"/>
    <x v="227"/>
    <x v="3"/>
    <x v="1"/>
    <x v="489"/>
    <x v="0"/>
    <x v="3"/>
    <x v="2"/>
    <x v="488"/>
  </r>
  <r>
    <x v="490"/>
    <x v="319"/>
    <x v="490"/>
    <x v="3"/>
    <x v="0"/>
    <x v="490"/>
    <x v="376"/>
    <x v="1"/>
    <x v="1"/>
    <x v="490"/>
    <x v="8"/>
    <x v="2"/>
    <x v="3"/>
    <x v="489"/>
  </r>
  <r>
    <x v="491"/>
    <x v="314"/>
    <x v="491"/>
    <x v="1"/>
    <x v="0"/>
    <x v="491"/>
    <x v="370"/>
    <x v="4"/>
    <x v="4"/>
    <x v="491"/>
    <x v="3"/>
    <x v="3"/>
    <x v="3"/>
    <x v="490"/>
  </r>
  <r>
    <x v="492"/>
    <x v="385"/>
    <x v="492"/>
    <x v="5"/>
    <x v="0"/>
    <x v="492"/>
    <x v="73"/>
    <x v="0"/>
    <x v="0"/>
    <x v="492"/>
    <x v="5"/>
    <x v="0"/>
    <x v="0"/>
    <x v="491"/>
  </r>
  <r>
    <x v="493"/>
    <x v="386"/>
    <x v="493"/>
    <x v="1"/>
    <x v="2"/>
    <x v="493"/>
    <x v="377"/>
    <x v="2"/>
    <x v="4"/>
    <x v="493"/>
    <x v="4"/>
    <x v="1"/>
    <x v="3"/>
    <x v="492"/>
  </r>
  <r>
    <x v="494"/>
    <x v="45"/>
    <x v="494"/>
    <x v="5"/>
    <x v="4"/>
    <x v="494"/>
    <x v="378"/>
    <x v="0"/>
    <x v="4"/>
    <x v="494"/>
    <x v="1"/>
    <x v="1"/>
    <x v="1"/>
    <x v="493"/>
  </r>
  <r>
    <x v="495"/>
    <x v="85"/>
    <x v="495"/>
    <x v="1"/>
    <x v="3"/>
    <x v="495"/>
    <x v="140"/>
    <x v="0"/>
    <x v="4"/>
    <x v="495"/>
    <x v="5"/>
    <x v="0"/>
    <x v="3"/>
    <x v="494"/>
  </r>
  <r>
    <x v="496"/>
    <x v="387"/>
    <x v="496"/>
    <x v="4"/>
    <x v="4"/>
    <x v="496"/>
    <x v="379"/>
    <x v="1"/>
    <x v="1"/>
    <x v="496"/>
    <x v="1"/>
    <x v="0"/>
    <x v="4"/>
    <x v="495"/>
  </r>
  <r>
    <x v="497"/>
    <x v="101"/>
    <x v="497"/>
    <x v="4"/>
    <x v="4"/>
    <x v="497"/>
    <x v="380"/>
    <x v="3"/>
    <x v="0"/>
    <x v="497"/>
    <x v="5"/>
    <x v="2"/>
    <x v="4"/>
    <x v="496"/>
  </r>
  <r>
    <x v="498"/>
    <x v="219"/>
    <x v="498"/>
    <x v="2"/>
    <x v="3"/>
    <x v="498"/>
    <x v="212"/>
    <x v="4"/>
    <x v="2"/>
    <x v="498"/>
    <x v="2"/>
    <x v="3"/>
    <x v="0"/>
    <x v="497"/>
  </r>
  <r>
    <x v="499"/>
    <x v="388"/>
    <x v="499"/>
    <x v="4"/>
    <x v="4"/>
    <x v="499"/>
    <x v="381"/>
    <x v="2"/>
    <x v="0"/>
    <x v="499"/>
    <x v="4"/>
    <x v="0"/>
    <x v="3"/>
    <x v="498"/>
  </r>
  <r>
    <x v="500"/>
    <x v="158"/>
    <x v="500"/>
    <x v="5"/>
    <x v="0"/>
    <x v="500"/>
    <x v="382"/>
    <x v="4"/>
    <x v="2"/>
    <x v="500"/>
    <x v="2"/>
    <x v="3"/>
    <x v="3"/>
    <x v="499"/>
  </r>
  <r>
    <x v="501"/>
    <x v="389"/>
    <x v="501"/>
    <x v="6"/>
    <x v="3"/>
    <x v="501"/>
    <x v="149"/>
    <x v="2"/>
    <x v="4"/>
    <x v="501"/>
    <x v="0"/>
    <x v="0"/>
    <x v="1"/>
    <x v="500"/>
  </r>
  <r>
    <x v="502"/>
    <x v="390"/>
    <x v="502"/>
    <x v="0"/>
    <x v="4"/>
    <x v="502"/>
    <x v="383"/>
    <x v="0"/>
    <x v="2"/>
    <x v="502"/>
    <x v="0"/>
    <x v="0"/>
    <x v="2"/>
    <x v="501"/>
  </r>
  <r>
    <x v="503"/>
    <x v="303"/>
    <x v="503"/>
    <x v="2"/>
    <x v="4"/>
    <x v="503"/>
    <x v="384"/>
    <x v="1"/>
    <x v="4"/>
    <x v="503"/>
    <x v="4"/>
    <x v="1"/>
    <x v="3"/>
    <x v="502"/>
  </r>
  <r>
    <x v="504"/>
    <x v="113"/>
    <x v="504"/>
    <x v="0"/>
    <x v="1"/>
    <x v="504"/>
    <x v="385"/>
    <x v="1"/>
    <x v="1"/>
    <x v="504"/>
    <x v="7"/>
    <x v="3"/>
    <x v="0"/>
    <x v="503"/>
  </r>
  <r>
    <x v="505"/>
    <x v="236"/>
    <x v="505"/>
    <x v="4"/>
    <x v="1"/>
    <x v="505"/>
    <x v="317"/>
    <x v="1"/>
    <x v="0"/>
    <x v="505"/>
    <x v="0"/>
    <x v="2"/>
    <x v="2"/>
    <x v="504"/>
  </r>
  <r>
    <x v="506"/>
    <x v="284"/>
    <x v="506"/>
    <x v="0"/>
    <x v="1"/>
    <x v="506"/>
    <x v="386"/>
    <x v="4"/>
    <x v="2"/>
    <x v="506"/>
    <x v="4"/>
    <x v="3"/>
    <x v="0"/>
    <x v="505"/>
  </r>
  <r>
    <x v="507"/>
    <x v="176"/>
    <x v="507"/>
    <x v="1"/>
    <x v="2"/>
    <x v="507"/>
    <x v="274"/>
    <x v="2"/>
    <x v="4"/>
    <x v="507"/>
    <x v="3"/>
    <x v="3"/>
    <x v="2"/>
    <x v="506"/>
  </r>
  <r>
    <x v="508"/>
    <x v="391"/>
    <x v="508"/>
    <x v="1"/>
    <x v="2"/>
    <x v="508"/>
    <x v="387"/>
    <x v="1"/>
    <x v="3"/>
    <x v="508"/>
    <x v="9"/>
    <x v="2"/>
    <x v="1"/>
    <x v="507"/>
  </r>
  <r>
    <x v="509"/>
    <x v="392"/>
    <x v="509"/>
    <x v="5"/>
    <x v="1"/>
    <x v="509"/>
    <x v="388"/>
    <x v="4"/>
    <x v="2"/>
    <x v="509"/>
    <x v="7"/>
    <x v="3"/>
    <x v="4"/>
    <x v="508"/>
  </r>
  <r>
    <x v="510"/>
    <x v="393"/>
    <x v="510"/>
    <x v="4"/>
    <x v="2"/>
    <x v="510"/>
    <x v="389"/>
    <x v="0"/>
    <x v="3"/>
    <x v="510"/>
    <x v="3"/>
    <x v="0"/>
    <x v="2"/>
    <x v="509"/>
  </r>
  <r>
    <x v="511"/>
    <x v="394"/>
    <x v="511"/>
    <x v="0"/>
    <x v="0"/>
    <x v="511"/>
    <x v="40"/>
    <x v="4"/>
    <x v="3"/>
    <x v="511"/>
    <x v="0"/>
    <x v="3"/>
    <x v="2"/>
    <x v="510"/>
  </r>
  <r>
    <x v="512"/>
    <x v="395"/>
    <x v="512"/>
    <x v="6"/>
    <x v="4"/>
    <x v="512"/>
    <x v="252"/>
    <x v="1"/>
    <x v="4"/>
    <x v="512"/>
    <x v="1"/>
    <x v="1"/>
    <x v="0"/>
    <x v="511"/>
  </r>
  <r>
    <x v="513"/>
    <x v="396"/>
    <x v="513"/>
    <x v="2"/>
    <x v="4"/>
    <x v="513"/>
    <x v="91"/>
    <x v="3"/>
    <x v="0"/>
    <x v="513"/>
    <x v="2"/>
    <x v="2"/>
    <x v="1"/>
    <x v="512"/>
  </r>
  <r>
    <x v="514"/>
    <x v="397"/>
    <x v="514"/>
    <x v="4"/>
    <x v="4"/>
    <x v="514"/>
    <x v="354"/>
    <x v="3"/>
    <x v="0"/>
    <x v="514"/>
    <x v="1"/>
    <x v="3"/>
    <x v="0"/>
    <x v="513"/>
  </r>
  <r>
    <x v="515"/>
    <x v="369"/>
    <x v="515"/>
    <x v="1"/>
    <x v="4"/>
    <x v="515"/>
    <x v="352"/>
    <x v="3"/>
    <x v="0"/>
    <x v="515"/>
    <x v="4"/>
    <x v="1"/>
    <x v="3"/>
    <x v="514"/>
  </r>
  <r>
    <x v="516"/>
    <x v="158"/>
    <x v="516"/>
    <x v="0"/>
    <x v="4"/>
    <x v="516"/>
    <x v="249"/>
    <x v="4"/>
    <x v="2"/>
    <x v="516"/>
    <x v="2"/>
    <x v="2"/>
    <x v="3"/>
    <x v="515"/>
  </r>
  <r>
    <x v="517"/>
    <x v="398"/>
    <x v="517"/>
    <x v="2"/>
    <x v="3"/>
    <x v="517"/>
    <x v="371"/>
    <x v="4"/>
    <x v="1"/>
    <x v="517"/>
    <x v="0"/>
    <x v="1"/>
    <x v="4"/>
    <x v="516"/>
  </r>
  <r>
    <x v="518"/>
    <x v="399"/>
    <x v="518"/>
    <x v="4"/>
    <x v="3"/>
    <x v="518"/>
    <x v="322"/>
    <x v="1"/>
    <x v="4"/>
    <x v="518"/>
    <x v="6"/>
    <x v="0"/>
    <x v="1"/>
    <x v="517"/>
  </r>
  <r>
    <x v="519"/>
    <x v="400"/>
    <x v="519"/>
    <x v="5"/>
    <x v="3"/>
    <x v="519"/>
    <x v="390"/>
    <x v="0"/>
    <x v="2"/>
    <x v="519"/>
    <x v="3"/>
    <x v="0"/>
    <x v="2"/>
    <x v="518"/>
  </r>
  <r>
    <x v="520"/>
    <x v="401"/>
    <x v="520"/>
    <x v="0"/>
    <x v="4"/>
    <x v="520"/>
    <x v="391"/>
    <x v="4"/>
    <x v="2"/>
    <x v="520"/>
    <x v="3"/>
    <x v="2"/>
    <x v="1"/>
    <x v="519"/>
  </r>
  <r>
    <x v="521"/>
    <x v="402"/>
    <x v="521"/>
    <x v="1"/>
    <x v="2"/>
    <x v="521"/>
    <x v="392"/>
    <x v="2"/>
    <x v="0"/>
    <x v="521"/>
    <x v="7"/>
    <x v="2"/>
    <x v="3"/>
    <x v="520"/>
  </r>
  <r>
    <x v="522"/>
    <x v="322"/>
    <x v="522"/>
    <x v="3"/>
    <x v="2"/>
    <x v="522"/>
    <x v="240"/>
    <x v="3"/>
    <x v="1"/>
    <x v="522"/>
    <x v="9"/>
    <x v="1"/>
    <x v="2"/>
    <x v="521"/>
  </r>
  <r>
    <x v="523"/>
    <x v="403"/>
    <x v="523"/>
    <x v="6"/>
    <x v="3"/>
    <x v="523"/>
    <x v="331"/>
    <x v="2"/>
    <x v="2"/>
    <x v="523"/>
    <x v="5"/>
    <x v="3"/>
    <x v="4"/>
    <x v="522"/>
  </r>
  <r>
    <x v="524"/>
    <x v="385"/>
    <x v="524"/>
    <x v="1"/>
    <x v="2"/>
    <x v="524"/>
    <x v="73"/>
    <x v="2"/>
    <x v="2"/>
    <x v="524"/>
    <x v="4"/>
    <x v="2"/>
    <x v="1"/>
    <x v="523"/>
  </r>
  <r>
    <x v="525"/>
    <x v="404"/>
    <x v="525"/>
    <x v="0"/>
    <x v="2"/>
    <x v="525"/>
    <x v="352"/>
    <x v="0"/>
    <x v="0"/>
    <x v="525"/>
    <x v="9"/>
    <x v="0"/>
    <x v="2"/>
    <x v="524"/>
  </r>
  <r>
    <x v="526"/>
    <x v="405"/>
    <x v="526"/>
    <x v="6"/>
    <x v="1"/>
    <x v="526"/>
    <x v="87"/>
    <x v="4"/>
    <x v="2"/>
    <x v="526"/>
    <x v="0"/>
    <x v="3"/>
    <x v="4"/>
    <x v="525"/>
  </r>
  <r>
    <x v="527"/>
    <x v="406"/>
    <x v="527"/>
    <x v="3"/>
    <x v="0"/>
    <x v="527"/>
    <x v="78"/>
    <x v="2"/>
    <x v="1"/>
    <x v="527"/>
    <x v="8"/>
    <x v="0"/>
    <x v="1"/>
    <x v="526"/>
  </r>
  <r>
    <x v="528"/>
    <x v="407"/>
    <x v="528"/>
    <x v="3"/>
    <x v="2"/>
    <x v="528"/>
    <x v="355"/>
    <x v="2"/>
    <x v="2"/>
    <x v="528"/>
    <x v="7"/>
    <x v="0"/>
    <x v="1"/>
    <x v="527"/>
  </r>
  <r>
    <x v="529"/>
    <x v="158"/>
    <x v="529"/>
    <x v="2"/>
    <x v="1"/>
    <x v="529"/>
    <x v="393"/>
    <x v="4"/>
    <x v="4"/>
    <x v="529"/>
    <x v="4"/>
    <x v="1"/>
    <x v="4"/>
    <x v="528"/>
  </r>
  <r>
    <x v="530"/>
    <x v="408"/>
    <x v="530"/>
    <x v="3"/>
    <x v="3"/>
    <x v="530"/>
    <x v="394"/>
    <x v="1"/>
    <x v="4"/>
    <x v="530"/>
    <x v="6"/>
    <x v="2"/>
    <x v="4"/>
    <x v="529"/>
  </r>
  <r>
    <x v="531"/>
    <x v="367"/>
    <x v="531"/>
    <x v="6"/>
    <x v="0"/>
    <x v="531"/>
    <x v="395"/>
    <x v="3"/>
    <x v="3"/>
    <x v="531"/>
    <x v="5"/>
    <x v="2"/>
    <x v="1"/>
    <x v="530"/>
  </r>
  <r>
    <x v="532"/>
    <x v="120"/>
    <x v="532"/>
    <x v="5"/>
    <x v="1"/>
    <x v="532"/>
    <x v="396"/>
    <x v="1"/>
    <x v="3"/>
    <x v="532"/>
    <x v="0"/>
    <x v="2"/>
    <x v="2"/>
    <x v="531"/>
  </r>
  <r>
    <x v="533"/>
    <x v="409"/>
    <x v="533"/>
    <x v="6"/>
    <x v="2"/>
    <x v="533"/>
    <x v="62"/>
    <x v="3"/>
    <x v="2"/>
    <x v="533"/>
    <x v="9"/>
    <x v="1"/>
    <x v="3"/>
    <x v="532"/>
  </r>
  <r>
    <x v="534"/>
    <x v="309"/>
    <x v="534"/>
    <x v="3"/>
    <x v="4"/>
    <x v="534"/>
    <x v="397"/>
    <x v="0"/>
    <x v="1"/>
    <x v="534"/>
    <x v="4"/>
    <x v="0"/>
    <x v="2"/>
    <x v="533"/>
  </r>
  <r>
    <x v="535"/>
    <x v="25"/>
    <x v="535"/>
    <x v="0"/>
    <x v="4"/>
    <x v="535"/>
    <x v="157"/>
    <x v="1"/>
    <x v="1"/>
    <x v="535"/>
    <x v="1"/>
    <x v="1"/>
    <x v="2"/>
    <x v="534"/>
  </r>
  <r>
    <x v="536"/>
    <x v="410"/>
    <x v="536"/>
    <x v="3"/>
    <x v="2"/>
    <x v="536"/>
    <x v="398"/>
    <x v="4"/>
    <x v="2"/>
    <x v="536"/>
    <x v="5"/>
    <x v="2"/>
    <x v="2"/>
    <x v="535"/>
  </r>
  <r>
    <x v="537"/>
    <x v="411"/>
    <x v="537"/>
    <x v="2"/>
    <x v="4"/>
    <x v="537"/>
    <x v="61"/>
    <x v="1"/>
    <x v="3"/>
    <x v="537"/>
    <x v="4"/>
    <x v="0"/>
    <x v="3"/>
    <x v="536"/>
  </r>
  <r>
    <x v="538"/>
    <x v="75"/>
    <x v="538"/>
    <x v="1"/>
    <x v="4"/>
    <x v="538"/>
    <x v="399"/>
    <x v="4"/>
    <x v="0"/>
    <x v="538"/>
    <x v="1"/>
    <x v="3"/>
    <x v="2"/>
    <x v="537"/>
  </r>
  <r>
    <x v="539"/>
    <x v="403"/>
    <x v="539"/>
    <x v="6"/>
    <x v="4"/>
    <x v="539"/>
    <x v="400"/>
    <x v="3"/>
    <x v="3"/>
    <x v="539"/>
    <x v="0"/>
    <x v="0"/>
    <x v="4"/>
    <x v="538"/>
  </r>
  <r>
    <x v="540"/>
    <x v="412"/>
    <x v="540"/>
    <x v="5"/>
    <x v="0"/>
    <x v="540"/>
    <x v="401"/>
    <x v="1"/>
    <x v="4"/>
    <x v="540"/>
    <x v="0"/>
    <x v="2"/>
    <x v="1"/>
    <x v="539"/>
  </r>
  <r>
    <x v="541"/>
    <x v="413"/>
    <x v="541"/>
    <x v="4"/>
    <x v="0"/>
    <x v="541"/>
    <x v="402"/>
    <x v="4"/>
    <x v="4"/>
    <x v="541"/>
    <x v="8"/>
    <x v="2"/>
    <x v="0"/>
    <x v="540"/>
  </r>
  <r>
    <x v="542"/>
    <x v="414"/>
    <x v="542"/>
    <x v="2"/>
    <x v="2"/>
    <x v="542"/>
    <x v="5"/>
    <x v="4"/>
    <x v="1"/>
    <x v="542"/>
    <x v="5"/>
    <x v="1"/>
    <x v="2"/>
    <x v="541"/>
  </r>
  <r>
    <x v="543"/>
    <x v="415"/>
    <x v="543"/>
    <x v="6"/>
    <x v="0"/>
    <x v="543"/>
    <x v="159"/>
    <x v="4"/>
    <x v="0"/>
    <x v="543"/>
    <x v="5"/>
    <x v="3"/>
    <x v="3"/>
    <x v="542"/>
  </r>
  <r>
    <x v="544"/>
    <x v="416"/>
    <x v="544"/>
    <x v="4"/>
    <x v="0"/>
    <x v="544"/>
    <x v="316"/>
    <x v="2"/>
    <x v="2"/>
    <x v="544"/>
    <x v="3"/>
    <x v="1"/>
    <x v="1"/>
    <x v="543"/>
  </r>
  <r>
    <x v="545"/>
    <x v="263"/>
    <x v="545"/>
    <x v="0"/>
    <x v="1"/>
    <x v="545"/>
    <x v="403"/>
    <x v="4"/>
    <x v="2"/>
    <x v="545"/>
    <x v="1"/>
    <x v="2"/>
    <x v="0"/>
    <x v="544"/>
  </r>
  <r>
    <x v="546"/>
    <x v="417"/>
    <x v="546"/>
    <x v="0"/>
    <x v="2"/>
    <x v="546"/>
    <x v="0"/>
    <x v="2"/>
    <x v="2"/>
    <x v="546"/>
    <x v="5"/>
    <x v="3"/>
    <x v="0"/>
    <x v="545"/>
  </r>
  <r>
    <x v="547"/>
    <x v="38"/>
    <x v="547"/>
    <x v="1"/>
    <x v="2"/>
    <x v="547"/>
    <x v="404"/>
    <x v="1"/>
    <x v="3"/>
    <x v="547"/>
    <x v="4"/>
    <x v="1"/>
    <x v="3"/>
    <x v="546"/>
  </r>
  <r>
    <x v="548"/>
    <x v="80"/>
    <x v="548"/>
    <x v="4"/>
    <x v="4"/>
    <x v="548"/>
    <x v="90"/>
    <x v="1"/>
    <x v="3"/>
    <x v="548"/>
    <x v="3"/>
    <x v="3"/>
    <x v="0"/>
    <x v="547"/>
  </r>
  <r>
    <x v="549"/>
    <x v="86"/>
    <x v="549"/>
    <x v="0"/>
    <x v="3"/>
    <x v="549"/>
    <x v="405"/>
    <x v="0"/>
    <x v="1"/>
    <x v="549"/>
    <x v="2"/>
    <x v="3"/>
    <x v="0"/>
    <x v="548"/>
  </r>
  <r>
    <x v="550"/>
    <x v="418"/>
    <x v="550"/>
    <x v="5"/>
    <x v="3"/>
    <x v="550"/>
    <x v="132"/>
    <x v="4"/>
    <x v="0"/>
    <x v="550"/>
    <x v="4"/>
    <x v="1"/>
    <x v="4"/>
    <x v="549"/>
  </r>
  <r>
    <x v="551"/>
    <x v="419"/>
    <x v="551"/>
    <x v="5"/>
    <x v="2"/>
    <x v="551"/>
    <x v="118"/>
    <x v="0"/>
    <x v="3"/>
    <x v="551"/>
    <x v="5"/>
    <x v="3"/>
    <x v="2"/>
    <x v="550"/>
  </r>
  <r>
    <x v="552"/>
    <x v="420"/>
    <x v="552"/>
    <x v="3"/>
    <x v="3"/>
    <x v="552"/>
    <x v="388"/>
    <x v="1"/>
    <x v="2"/>
    <x v="552"/>
    <x v="2"/>
    <x v="3"/>
    <x v="3"/>
    <x v="551"/>
  </r>
  <r>
    <x v="553"/>
    <x v="421"/>
    <x v="553"/>
    <x v="1"/>
    <x v="1"/>
    <x v="553"/>
    <x v="406"/>
    <x v="3"/>
    <x v="1"/>
    <x v="553"/>
    <x v="4"/>
    <x v="1"/>
    <x v="1"/>
    <x v="552"/>
  </r>
  <r>
    <x v="554"/>
    <x v="422"/>
    <x v="554"/>
    <x v="5"/>
    <x v="1"/>
    <x v="554"/>
    <x v="200"/>
    <x v="4"/>
    <x v="2"/>
    <x v="554"/>
    <x v="3"/>
    <x v="1"/>
    <x v="0"/>
    <x v="553"/>
  </r>
  <r>
    <x v="555"/>
    <x v="33"/>
    <x v="555"/>
    <x v="2"/>
    <x v="2"/>
    <x v="555"/>
    <x v="10"/>
    <x v="4"/>
    <x v="0"/>
    <x v="555"/>
    <x v="7"/>
    <x v="2"/>
    <x v="3"/>
    <x v="554"/>
  </r>
  <r>
    <x v="556"/>
    <x v="423"/>
    <x v="556"/>
    <x v="5"/>
    <x v="2"/>
    <x v="556"/>
    <x v="407"/>
    <x v="3"/>
    <x v="4"/>
    <x v="556"/>
    <x v="7"/>
    <x v="0"/>
    <x v="3"/>
    <x v="555"/>
  </r>
  <r>
    <x v="557"/>
    <x v="282"/>
    <x v="557"/>
    <x v="2"/>
    <x v="2"/>
    <x v="557"/>
    <x v="408"/>
    <x v="0"/>
    <x v="4"/>
    <x v="557"/>
    <x v="9"/>
    <x v="3"/>
    <x v="3"/>
    <x v="556"/>
  </r>
  <r>
    <x v="558"/>
    <x v="424"/>
    <x v="558"/>
    <x v="1"/>
    <x v="3"/>
    <x v="558"/>
    <x v="409"/>
    <x v="1"/>
    <x v="3"/>
    <x v="558"/>
    <x v="5"/>
    <x v="3"/>
    <x v="0"/>
    <x v="557"/>
  </r>
  <r>
    <x v="559"/>
    <x v="116"/>
    <x v="559"/>
    <x v="6"/>
    <x v="4"/>
    <x v="559"/>
    <x v="380"/>
    <x v="0"/>
    <x v="1"/>
    <x v="559"/>
    <x v="0"/>
    <x v="3"/>
    <x v="2"/>
    <x v="558"/>
  </r>
  <r>
    <x v="560"/>
    <x v="425"/>
    <x v="560"/>
    <x v="0"/>
    <x v="3"/>
    <x v="560"/>
    <x v="410"/>
    <x v="3"/>
    <x v="4"/>
    <x v="560"/>
    <x v="0"/>
    <x v="2"/>
    <x v="2"/>
    <x v="559"/>
  </r>
  <r>
    <x v="561"/>
    <x v="425"/>
    <x v="561"/>
    <x v="4"/>
    <x v="1"/>
    <x v="561"/>
    <x v="411"/>
    <x v="1"/>
    <x v="0"/>
    <x v="561"/>
    <x v="7"/>
    <x v="2"/>
    <x v="4"/>
    <x v="560"/>
  </r>
  <r>
    <x v="562"/>
    <x v="426"/>
    <x v="562"/>
    <x v="5"/>
    <x v="4"/>
    <x v="562"/>
    <x v="90"/>
    <x v="3"/>
    <x v="2"/>
    <x v="562"/>
    <x v="5"/>
    <x v="1"/>
    <x v="2"/>
    <x v="561"/>
  </r>
  <r>
    <x v="563"/>
    <x v="427"/>
    <x v="563"/>
    <x v="5"/>
    <x v="2"/>
    <x v="563"/>
    <x v="412"/>
    <x v="0"/>
    <x v="2"/>
    <x v="563"/>
    <x v="9"/>
    <x v="0"/>
    <x v="1"/>
    <x v="562"/>
  </r>
  <r>
    <x v="564"/>
    <x v="428"/>
    <x v="564"/>
    <x v="6"/>
    <x v="0"/>
    <x v="564"/>
    <x v="413"/>
    <x v="2"/>
    <x v="1"/>
    <x v="564"/>
    <x v="3"/>
    <x v="3"/>
    <x v="4"/>
    <x v="563"/>
  </r>
  <r>
    <x v="565"/>
    <x v="429"/>
    <x v="565"/>
    <x v="2"/>
    <x v="0"/>
    <x v="565"/>
    <x v="360"/>
    <x v="1"/>
    <x v="4"/>
    <x v="565"/>
    <x v="8"/>
    <x v="2"/>
    <x v="3"/>
    <x v="564"/>
  </r>
  <r>
    <x v="566"/>
    <x v="171"/>
    <x v="566"/>
    <x v="1"/>
    <x v="3"/>
    <x v="566"/>
    <x v="414"/>
    <x v="4"/>
    <x v="1"/>
    <x v="566"/>
    <x v="0"/>
    <x v="1"/>
    <x v="2"/>
    <x v="565"/>
  </r>
  <r>
    <x v="567"/>
    <x v="430"/>
    <x v="567"/>
    <x v="3"/>
    <x v="0"/>
    <x v="567"/>
    <x v="222"/>
    <x v="4"/>
    <x v="0"/>
    <x v="567"/>
    <x v="8"/>
    <x v="1"/>
    <x v="2"/>
    <x v="566"/>
  </r>
  <r>
    <x v="568"/>
    <x v="401"/>
    <x v="568"/>
    <x v="5"/>
    <x v="1"/>
    <x v="568"/>
    <x v="304"/>
    <x v="1"/>
    <x v="3"/>
    <x v="568"/>
    <x v="4"/>
    <x v="2"/>
    <x v="4"/>
    <x v="567"/>
  </r>
  <r>
    <x v="569"/>
    <x v="29"/>
    <x v="569"/>
    <x v="6"/>
    <x v="0"/>
    <x v="569"/>
    <x v="364"/>
    <x v="4"/>
    <x v="0"/>
    <x v="569"/>
    <x v="2"/>
    <x v="0"/>
    <x v="0"/>
    <x v="568"/>
  </r>
  <r>
    <x v="570"/>
    <x v="431"/>
    <x v="570"/>
    <x v="6"/>
    <x v="1"/>
    <x v="570"/>
    <x v="108"/>
    <x v="0"/>
    <x v="4"/>
    <x v="570"/>
    <x v="7"/>
    <x v="0"/>
    <x v="0"/>
    <x v="569"/>
  </r>
  <r>
    <x v="571"/>
    <x v="432"/>
    <x v="571"/>
    <x v="2"/>
    <x v="2"/>
    <x v="571"/>
    <x v="369"/>
    <x v="3"/>
    <x v="2"/>
    <x v="571"/>
    <x v="7"/>
    <x v="3"/>
    <x v="4"/>
    <x v="570"/>
  </r>
  <r>
    <x v="572"/>
    <x v="433"/>
    <x v="572"/>
    <x v="4"/>
    <x v="2"/>
    <x v="572"/>
    <x v="312"/>
    <x v="4"/>
    <x v="2"/>
    <x v="572"/>
    <x v="4"/>
    <x v="3"/>
    <x v="3"/>
    <x v="571"/>
  </r>
  <r>
    <x v="573"/>
    <x v="261"/>
    <x v="573"/>
    <x v="3"/>
    <x v="0"/>
    <x v="573"/>
    <x v="101"/>
    <x v="0"/>
    <x v="1"/>
    <x v="573"/>
    <x v="0"/>
    <x v="2"/>
    <x v="0"/>
    <x v="572"/>
  </r>
  <r>
    <x v="574"/>
    <x v="434"/>
    <x v="574"/>
    <x v="3"/>
    <x v="0"/>
    <x v="574"/>
    <x v="3"/>
    <x v="2"/>
    <x v="4"/>
    <x v="574"/>
    <x v="5"/>
    <x v="1"/>
    <x v="2"/>
    <x v="573"/>
  </r>
  <r>
    <x v="575"/>
    <x v="323"/>
    <x v="575"/>
    <x v="3"/>
    <x v="0"/>
    <x v="575"/>
    <x v="415"/>
    <x v="3"/>
    <x v="2"/>
    <x v="575"/>
    <x v="0"/>
    <x v="0"/>
    <x v="4"/>
    <x v="574"/>
  </r>
  <r>
    <x v="576"/>
    <x v="382"/>
    <x v="576"/>
    <x v="5"/>
    <x v="0"/>
    <x v="576"/>
    <x v="300"/>
    <x v="4"/>
    <x v="4"/>
    <x v="576"/>
    <x v="2"/>
    <x v="2"/>
    <x v="3"/>
    <x v="575"/>
  </r>
  <r>
    <x v="577"/>
    <x v="55"/>
    <x v="577"/>
    <x v="2"/>
    <x v="3"/>
    <x v="577"/>
    <x v="78"/>
    <x v="1"/>
    <x v="2"/>
    <x v="577"/>
    <x v="6"/>
    <x v="3"/>
    <x v="4"/>
    <x v="576"/>
  </r>
  <r>
    <x v="578"/>
    <x v="84"/>
    <x v="578"/>
    <x v="0"/>
    <x v="0"/>
    <x v="578"/>
    <x v="20"/>
    <x v="2"/>
    <x v="3"/>
    <x v="578"/>
    <x v="5"/>
    <x v="0"/>
    <x v="0"/>
    <x v="577"/>
  </r>
  <r>
    <x v="579"/>
    <x v="243"/>
    <x v="579"/>
    <x v="2"/>
    <x v="1"/>
    <x v="579"/>
    <x v="269"/>
    <x v="1"/>
    <x v="0"/>
    <x v="579"/>
    <x v="4"/>
    <x v="3"/>
    <x v="3"/>
    <x v="578"/>
  </r>
  <r>
    <x v="580"/>
    <x v="414"/>
    <x v="580"/>
    <x v="0"/>
    <x v="1"/>
    <x v="580"/>
    <x v="416"/>
    <x v="2"/>
    <x v="3"/>
    <x v="580"/>
    <x v="4"/>
    <x v="0"/>
    <x v="0"/>
    <x v="579"/>
  </r>
  <r>
    <x v="581"/>
    <x v="435"/>
    <x v="581"/>
    <x v="5"/>
    <x v="2"/>
    <x v="581"/>
    <x v="15"/>
    <x v="1"/>
    <x v="3"/>
    <x v="581"/>
    <x v="9"/>
    <x v="2"/>
    <x v="1"/>
    <x v="580"/>
  </r>
  <r>
    <x v="582"/>
    <x v="436"/>
    <x v="582"/>
    <x v="2"/>
    <x v="4"/>
    <x v="582"/>
    <x v="317"/>
    <x v="3"/>
    <x v="0"/>
    <x v="582"/>
    <x v="2"/>
    <x v="3"/>
    <x v="4"/>
    <x v="581"/>
  </r>
  <r>
    <x v="583"/>
    <x v="437"/>
    <x v="583"/>
    <x v="3"/>
    <x v="4"/>
    <x v="583"/>
    <x v="31"/>
    <x v="3"/>
    <x v="3"/>
    <x v="583"/>
    <x v="4"/>
    <x v="2"/>
    <x v="0"/>
    <x v="582"/>
  </r>
  <r>
    <x v="584"/>
    <x v="438"/>
    <x v="584"/>
    <x v="3"/>
    <x v="3"/>
    <x v="584"/>
    <x v="417"/>
    <x v="1"/>
    <x v="3"/>
    <x v="584"/>
    <x v="5"/>
    <x v="0"/>
    <x v="4"/>
    <x v="583"/>
  </r>
  <r>
    <x v="585"/>
    <x v="38"/>
    <x v="585"/>
    <x v="2"/>
    <x v="3"/>
    <x v="585"/>
    <x v="299"/>
    <x v="4"/>
    <x v="2"/>
    <x v="585"/>
    <x v="2"/>
    <x v="3"/>
    <x v="4"/>
    <x v="584"/>
  </r>
  <r>
    <x v="586"/>
    <x v="337"/>
    <x v="586"/>
    <x v="0"/>
    <x v="2"/>
    <x v="586"/>
    <x v="418"/>
    <x v="3"/>
    <x v="2"/>
    <x v="586"/>
    <x v="3"/>
    <x v="1"/>
    <x v="1"/>
    <x v="585"/>
  </r>
  <r>
    <x v="587"/>
    <x v="439"/>
    <x v="587"/>
    <x v="0"/>
    <x v="0"/>
    <x v="587"/>
    <x v="419"/>
    <x v="3"/>
    <x v="3"/>
    <x v="587"/>
    <x v="8"/>
    <x v="1"/>
    <x v="0"/>
    <x v="586"/>
  </r>
  <r>
    <x v="588"/>
    <x v="440"/>
    <x v="588"/>
    <x v="0"/>
    <x v="3"/>
    <x v="588"/>
    <x v="55"/>
    <x v="2"/>
    <x v="3"/>
    <x v="588"/>
    <x v="6"/>
    <x v="2"/>
    <x v="4"/>
    <x v="587"/>
  </r>
  <r>
    <x v="589"/>
    <x v="441"/>
    <x v="589"/>
    <x v="5"/>
    <x v="1"/>
    <x v="589"/>
    <x v="420"/>
    <x v="4"/>
    <x v="3"/>
    <x v="589"/>
    <x v="1"/>
    <x v="1"/>
    <x v="1"/>
    <x v="588"/>
  </r>
  <r>
    <x v="590"/>
    <x v="442"/>
    <x v="590"/>
    <x v="4"/>
    <x v="1"/>
    <x v="590"/>
    <x v="421"/>
    <x v="3"/>
    <x v="2"/>
    <x v="590"/>
    <x v="4"/>
    <x v="2"/>
    <x v="2"/>
    <x v="589"/>
  </r>
  <r>
    <x v="591"/>
    <x v="249"/>
    <x v="591"/>
    <x v="5"/>
    <x v="2"/>
    <x v="591"/>
    <x v="422"/>
    <x v="3"/>
    <x v="0"/>
    <x v="591"/>
    <x v="1"/>
    <x v="1"/>
    <x v="1"/>
    <x v="590"/>
  </r>
  <r>
    <x v="592"/>
    <x v="234"/>
    <x v="592"/>
    <x v="1"/>
    <x v="4"/>
    <x v="592"/>
    <x v="393"/>
    <x v="1"/>
    <x v="2"/>
    <x v="592"/>
    <x v="4"/>
    <x v="2"/>
    <x v="4"/>
    <x v="591"/>
  </r>
  <r>
    <x v="593"/>
    <x v="443"/>
    <x v="593"/>
    <x v="0"/>
    <x v="2"/>
    <x v="593"/>
    <x v="125"/>
    <x v="3"/>
    <x v="0"/>
    <x v="593"/>
    <x v="4"/>
    <x v="1"/>
    <x v="3"/>
    <x v="592"/>
  </r>
  <r>
    <x v="594"/>
    <x v="444"/>
    <x v="594"/>
    <x v="1"/>
    <x v="0"/>
    <x v="594"/>
    <x v="128"/>
    <x v="2"/>
    <x v="1"/>
    <x v="594"/>
    <x v="0"/>
    <x v="2"/>
    <x v="2"/>
    <x v="593"/>
  </r>
  <r>
    <x v="595"/>
    <x v="445"/>
    <x v="595"/>
    <x v="4"/>
    <x v="1"/>
    <x v="595"/>
    <x v="423"/>
    <x v="1"/>
    <x v="4"/>
    <x v="595"/>
    <x v="0"/>
    <x v="0"/>
    <x v="2"/>
    <x v="594"/>
  </r>
  <r>
    <x v="596"/>
    <x v="439"/>
    <x v="596"/>
    <x v="6"/>
    <x v="4"/>
    <x v="596"/>
    <x v="424"/>
    <x v="0"/>
    <x v="2"/>
    <x v="596"/>
    <x v="0"/>
    <x v="1"/>
    <x v="3"/>
    <x v="595"/>
  </r>
  <r>
    <x v="597"/>
    <x v="446"/>
    <x v="597"/>
    <x v="6"/>
    <x v="1"/>
    <x v="597"/>
    <x v="425"/>
    <x v="3"/>
    <x v="1"/>
    <x v="597"/>
    <x v="4"/>
    <x v="3"/>
    <x v="2"/>
    <x v="596"/>
  </r>
  <r>
    <x v="598"/>
    <x v="447"/>
    <x v="598"/>
    <x v="6"/>
    <x v="0"/>
    <x v="598"/>
    <x v="283"/>
    <x v="2"/>
    <x v="4"/>
    <x v="598"/>
    <x v="3"/>
    <x v="2"/>
    <x v="3"/>
    <x v="597"/>
  </r>
  <r>
    <x v="599"/>
    <x v="30"/>
    <x v="599"/>
    <x v="3"/>
    <x v="4"/>
    <x v="599"/>
    <x v="329"/>
    <x v="1"/>
    <x v="1"/>
    <x v="599"/>
    <x v="4"/>
    <x v="1"/>
    <x v="3"/>
    <x v="598"/>
  </r>
  <r>
    <x v="600"/>
    <x v="68"/>
    <x v="600"/>
    <x v="4"/>
    <x v="2"/>
    <x v="600"/>
    <x v="223"/>
    <x v="3"/>
    <x v="1"/>
    <x v="600"/>
    <x v="9"/>
    <x v="1"/>
    <x v="3"/>
    <x v="599"/>
  </r>
  <r>
    <x v="601"/>
    <x v="276"/>
    <x v="601"/>
    <x v="0"/>
    <x v="0"/>
    <x v="601"/>
    <x v="426"/>
    <x v="2"/>
    <x v="0"/>
    <x v="601"/>
    <x v="8"/>
    <x v="2"/>
    <x v="1"/>
    <x v="600"/>
  </r>
  <r>
    <x v="602"/>
    <x v="448"/>
    <x v="482"/>
    <x v="2"/>
    <x v="3"/>
    <x v="602"/>
    <x v="372"/>
    <x v="1"/>
    <x v="4"/>
    <x v="602"/>
    <x v="3"/>
    <x v="0"/>
    <x v="0"/>
    <x v="601"/>
  </r>
  <r>
    <x v="603"/>
    <x v="449"/>
    <x v="602"/>
    <x v="2"/>
    <x v="2"/>
    <x v="603"/>
    <x v="427"/>
    <x v="4"/>
    <x v="4"/>
    <x v="603"/>
    <x v="4"/>
    <x v="0"/>
    <x v="4"/>
    <x v="602"/>
  </r>
  <r>
    <x v="604"/>
    <x v="450"/>
    <x v="603"/>
    <x v="3"/>
    <x v="4"/>
    <x v="604"/>
    <x v="251"/>
    <x v="0"/>
    <x v="3"/>
    <x v="604"/>
    <x v="5"/>
    <x v="2"/>
    <x v="3"/>
    <x v="603"/>
  </r>
  <r>
    <x v="605"/>
    <x v="451"/>
    <x v="604"/>
    <x v="0"/>
    <x v="1"/>
    <x v="550"/>
    <x v="428"/>
    <x v="0"/>
    <x v="0"/>
    <x v="605"/>
    <x v="4"/>
    <x v="0"/>
    <x v="1"/>
    <x v="604"/>
  </r>
  <r>
    <x v="606"/>
    <x v="119"/>
    <x v="605"/>
    <x v="5"/>
    <x v="4"/>
    <x v="605"/>
    <x v="204"/>
    <x v="4"/>
    <x v="1"/>
    <x v="606"/>
    <x v="1"/>
    <x v="0"/>
    <x v="4"/>
    <x v="605"/>
  </r>
  <r>
    <x v="607"/>
    <x v="133"/>
    <x v="606"/>
    <x v="4"/>
    <x v="3"/>
    <x v="606"/>
    <x v="429"/>
    <x v="4"/>
    <x v="0"/>
    <x v="607"/>
    <x v="5"/>
    <x v="0"/>
    <x v="4"/>
    <x v="606"/>
  </r>
  <r>
    <x v="608"/>
    <x v="25"/>
    <x v="607"/>
    <x v="5"/>
    <x v="0"/>
    <x v="607"/>
    <x v="430"/>
    <x v="1"/>
    <x v="1"/>
    <x v="608"/>
    <x v="5"/>
    <x v="0"/>
    <x v="0"/>
    <x v="607"/>
  </r>
  <r>
    <x v="609"/>
    <x v="109"/>
    <x v="608"/>
    <x v="3"/>
    <x v="4"/>
    <x v="608"/>
    <x v="431"/>
    <x v="4"/>
    <x v="2"/>
    <x v="609"/>
    <x v="3"/>
    <x v="3"/>
    <x v="1"/>
    <x v="608"/>
  </r>
  <r>
    <x v="610"/>
    <x v="452"/>
    <x v="609"/>
    <x v="6"/>
    <x v="0"/>
    <x v="609"/>
    <x v="50"/>
    <x v="4"/>
    <x v="2"/>
    <x v="610"/>
    <x v="0"/>
    <x v="1"/>
    <x v="3"/>
    <x v="609"/>
  </r>
  <r>
    <x v="611"/>
    <x v="453"/>
    <x v="610"/>
    <x v="6"/>
    <x v="2"/>
    <x v="610"/>
    <x v="425"/>
    <x v="3"/>
    <x v="2"/>
    <x v="611"/>
    <x v="1"/>
    <x v="3"/>
    <x v="1"/>
    <x v="610"/>
  </r>
  <r>
    <x v="612"/>
    <x v="454"/>
    <x v="611"/>
    <x v="3"/>
    <x v="4"/>
    <x v="611"/>
    <x v="268"/>
    <x v="3"/>
    <x v="1"/>
    <x v="612"/>
    <x v="2"/>
    <x v="2"/>
    <x v="4"/>
    <x v="611"/>
  </r>
  <r>
    <x v="613"/>
    <x v="36"/>
    <x v="612"/>
    <x v="5"/>
    <x v="1"/>
    <x v="612"/>
    <x v="432"/>
    <x v="1"/>
    <x v="2"/>
    <x v="613"/>
    <x v="4"/>
    <x v="3"/>
    <x v="2"/>
    <x v="612"/>
  </r>
  <r>
    <x v="614"/>
    <x v="455"/>
    <x v="613"/>
    <x v="1"/>
    <x v="2"/>
    <x v="613"/>
    <x v="111"/>
    <x v="3"/>
    <x v="1"/>
    <x v="614"/>
    <x v="1"/>
    <x v="2"/>
    <x v="1"/>
    <x v="613"/>
  </r>
  <r>
    <x v="615"/>
    <x v="456"/>
    <x v="614"/>
    <x v="0"/>
    <x v="0"/>
    <x v="614"/>
    <x v="251"/>
    <x v="2"/>
    <x v="2"/>
    <x v="615"/>
    <x v="8"/>
    <x v="3"/>
    <x v="3"/>
    <x v="614"/>
  </r>
  <r>
    <x v="616"/>
    <x v="457"/>
    <x v="615"/>
    <x v="2"/>
    <x v="4"/>
    <x v="615"/>
    <x v="433"/>
    <x v="2"/>
    <x v="1"/>
    <x v="616"/>
    <x v="0"/>
    <x v="0"/>
    <x v="3"/>
    <x v="615"/>
  </r>
  <r>
    <x v="617"/>
    <x v="458"/>
    <x v="616"/>
    <x v="2"/>
    <x v="4"/>
    <x v="616"/>
    <x v="434"/>
    <x v="1"/>
    <x v="1"/>
    <x v="617"/>
    <x v="4"/>
    <x v="2"/>
    <x v="1"/>
    <x v="616"/>
  </r>
  <r>
    <x v="618"/>
    <x v="459"/>
    <x v="617"/>
    <x v="2"/>
    <x v="2"/>
    <x v="617"/>
    <x v="435"/>
    <x v="0"/>
    <x v="2"/>
    <x v="618"/>
    <x v="3"/>
    <x v="2"/>
    <x v="0"/>
    <x v="617"/>
  </r>
  <r>
    <x v="619"/>
    <x v="424"/>
    <x v="618"/>
    <x v="5"/>
    <x v="2"/>
    <x v="618"/>
    <x v="373"/>
    <x v="3"/>
    <x v="4"/>
    <x v="619"/>
    <x v="7"/>
    <x v="2"/>
    <x v="1"/>
    <x v="618"/>
  </r>
  <r>
    <x v="620"/>
    <x v="460"/>
    <x v="619"/>
    <x v="2"/>
    <x v="4"/>
    <x v="619"/>
    <x v="436"/>
    <x v="0"/>
    <x v="2"/>
    <x v="620"/>
    <x v="2"/>
    <x v="0"/>
    <x v="1"/>
    <x v="619"/>
  </r>
  <r>
    <x v="621"/>
    <x v="356"/>
    <x v="620"/>
    <x v="1"/>
    <x v="0"/>
    <x v="620"/>
    <x v="72"/>
    <x v="2"/>
    <x v="3"/>
    <x v="621"/>
    <x v="0"/>
    <x v="3"/>
    <x v="4"/>
    <x v="620"/>
  </r>
  <r>
    <x v="622"/>
    <x v="461"/>
    <x v="621"/>
    <x v="6"/>
    <x v="0"/>
    <x v="621"/>
    <x v="35"/>
    <x v="2"/>
    <x v="2"/>
    <x v="622"/>
    <x v="0"/>
    <x v="2"/>
    <x v="3"/>
    <x v="621"/>
  </r>
  <r>
    <x v="623"/>
    <x v="379"/>
    <x v="622"/>
    <x v="4"/>
    <x v="4"/>
    <x v="622"/>
    <x v="437"/>
    <x v="3"/>
    <x v="1"/>
    <x v="623"/>
    <x v="4"/>
    <x v="1"/>
    <x v="0"/>
    <x v="622"/>
  </r>
  <r>
    <x v="624"/>
    <x v="462"/>
    <x v="623"/>
    <x v="2"/>
    <x v="0"/>
    <x v="623"/>
    <x v="300"/>
    <x v="0"/>
    <x v="3"/>
    <x v="624"/>
    <x v="5"/>
    <x v="2"/>
    <x v="2"/>
    <x v="623"/>
  </r>
  <r>
    <x v="625"/>
    <x v="463"/>
    <x v="624"/>
    <x v="2"/>
    <x v="2"/>
    <x v="624"/>
    <x v="438"/>
    <x v="2"/>
    <x v="4"/>
    <x v="625"/>
    <x v="9"/>
    <x v="3"/>
    <x v="2"/>
    <x v="624"/>
  </r>
  <r>
    <x v="626"/>
    <x v="417"/>
    <x v="625"/>
    <x v="2"/>
    <x v="1"/>
    <x v="625"/>
    <x v="335"/>
    <x v="1"/>
    <x v="0"/>
    <x v="626"/>
    <x v="3"/>
    <x v="0"/>
    <x v="1"/>
    <x v="625"/>
  </r>
  <r>
    <x v="627"/>
    <x v="464"/>
    <x v="626"/>
    <x v="3"/>
    <x v="4"/>
    <x v="626"/>
    <x v="402"/>
    <x v="1"/>
    <x v="2"/>
    <x v="627"/>
    <x v="4"/>
    <x v="1"/>
    <x v="2"/>
    <x v="626"/>
  </r>
  <r>
    <x v="628"/>
    <x v="465"/>
    <x v="627"/>
    <x v="4"/>
    <x v="0"/>
    <x v="627"/>
    <x v="439"/>
    <x v="4"/>
    <x v="4"/>
    <x v="628"/>
    <x v="2"/>
    <x v="1"/>
    <x v="1"/>
    <x v="627"/>
  </r>
  <r>
    <x v="629"/>
    <x v="466"/>
    <x v="628"/>
    <x v="1"/>
    <x v="4"/>
    <x v="628"/>
    <x v="440"/>
    <x v="1"/>
    <x v="4"/>
    <x v="629"/>
    <x v="1"/>
    <x v="2"/>
    <x v="1"/>
    <x v="628"/>
  </r>
  <r>
    <x v="630"/>
    <x v="467"/>
    <x v="629"/>
    <x v="0"/>
    <x v="0"/>
    <x v="629"/>
    <x v="441"/>
    <x v="0"/>
    <x v="1"/>
    <x v="630"/>
    <x v="8"/>
    <x v="2"/>
    <x v="0"/>
    <x v="629"/>
  </r>
  <r>
    <x v="631"/>
    <x v="169"/>
    <x v="630"/>
    <x v="3"/>
    <x v="4"/>
    <x v="630"/>
    <x v="235"/>
    <x v="3"/>
    <x v="2"/>
    <x v="631"/>
    <x v="3"/>
    <x v="3"/>
    <x v="1"/>
    <x v="630"/>
  </r>
  <r>
    <x v="632"/>
    <x v="468"/>
    <x v="631"/>
    <x v="5"/>
    <x v="0"/>
    <x v="631"/>
    <x v="219"/>
    <x v="3"/>
    <x v="3"/>
    <x v="632"/>
    <x v="0"/>
    <x v="3"/>
    <x v="3"/>
    <x v="631"/>
  </r>
  <r>
    <x v="633"/>
    <x v="294"/>
    <x v="632"/>
    <x v="5"/>
    <x v="0"/>
    <x v="632"/>
    <x v="318"/>
    <x v="3"/>
    <x v="1"/>
    <x v="633"/>
    <x v="3"/>
    <x v="3"/>
    <x v="0"/>
    <x v="632"/>
  </r>
  <r>
    <x v="634"/>
    <x v="313"/>
    <x v="633"/>
    <x v="4"/>
    <x v="1"/>
    <x v="633"/>
    <x v="442"/>
    <x v="3"/>
    <x v="3"/>
    <x v="634"/>
    <x v="7"/>
    <x v="3"/>
    <x v="1"/>
    <x v="633"/>
  </r>
  <r>
    <x v="635"/>
    <x v="141"/>
    <x v="634"/>
    <x v="3"/>
    <x v="4"/>
    <x v="634"/>
    <x v="48"/>
    <x v="4"/>
    <x v="2"/>
    <x v="635"/>
    <x v="5"/>
    <x v="2"/>
    <x v="3"/>
    <x v="634"/>
  </r>
  <r>
    <x v="636"/>
    <x v="469"/>
    <x v="635"/>
    <x v="5"/>
    <x v="3"/>
    <x v="635"/>
    <x v="154"/>
    <x v="4"/>
    <x v="1"/>
    <x v="636"/>
    <x v="0"/>
    <x v="3"/>
    <x v="3"/>
    <x v="635"/>
  </r>
  <r>
    <x v="637"/>
    <x v="470"/>
    <x v="636"/>
    <x v="3"/>
    <x v="3"/>
    <x v="636"/>
    <x v="443"/>
    <x v="3"/>
    <x v="0"/>
    <x v="637"/>
    <x v="0"/>
    <x v="3"/>
    <x v="1"/>
    <x v="636"/>
  </r>
  <r>
    <x v="638"/>
    <x v="3"/>
    <x v="637"/>
    <x v="2"/>
    <x v="3"/>
    <x v="637"/>
    <x v="444"/>
    <x v="1"/>
    <x v="3"/>
    <x v="638"/>
    <x v="6"/>
    <x v="3"/>
    <x v="2"/>
    <x v="637"/>
  </r>
  <r>
    <x v="639"/>
    <x v="325"/>
    <x v="638"/>
    <x v="3"/>
    <x v="2"/>
    <x v="638"/>
    <x v="362"/>
    <x v="4"/>
    <x v="1"/>
    <x v="639"/>
    <x v="3"/>
    <x v="2"/>
    <x v="1"/>
    <x v="638"/>
  </r>
  <r>
    <x v="640"/>
    <x v="2"/>
    <x v="639"/>
    <x v="3"/>
    <x v="1"/>
    <x v="639"/>
    <x v="97"/>
    <x v="3"/>
    <x v="2"/>
    <x v="640"/>
    <x v="5"/>
    <x v="0"/>
    <x v="1"/>
    <x v="639"/>
  </r>
  <r>
    <x v="641"/>
    <x v="471"/>
    <x v="640"/>
    <x v="4"/>
    <x v="3"/>
    <x v="640"/>
    <x v="217"/>
    <x v="0"/>
    <x v="4"/>
    <x v="641"/>
    <x v="6"/>
    <x v="3"/>
    <x v="4"/>
    <x v="640"/>
  </r>
  <r>
    <x v="642"/>
    <x v="472"/>
    <x v="641"/>
    <x v="3"/>
    <x v="0"/>
    <x v="641"/>
    <x v="445"/>
    <x v="2"/>
    <x v="1"/>
    <x v="642"/>
    <x v="0"/>
    <x v="1"/>
    <x v="2"/>
    <x v="641"/>
  </r>
  <r>
    <x v="643"/>
    <x v="360"/>
    <x v="642"/>
    <x v="5"/>
    <x v="2"/>
    <x v="642"/>
    <x v="97"/>
    <x v="4"/>
    <x v="1"/>
    <x v="643"/>
    <x v="4"/>
    <x v="0"/>
    <x v="1"/>
    <x v="642"/>
  </r>
  <r>
    <x v="644"/>
    <x v="375"/>
    <x v="643"/>
    <x v="3"/>
    <x v="1"/>
    <x v="643"/>
    <x v="446"/>
    <x v="4"/>
    <x v="0"/>
    <x v="644"/>
    <x v="7"/>
    <x v="3"/>
    <x v="2"/>
    <x v="643"/>
  </r>
  <r>
    <x v="645"/>
    <x v="315"/>
    <x v="644"/>
    <x v="5"/>
    <x v="1"/>
    <x v="644"/>
    <x v="115"/>
    <x v="2"/>
    <x v="1"/>
    <x v="645"/>
    <x v="4"/>
    <x v="0"/>
    <x v="3"/>
    <x v="644"/>
  </r>
  <r>
    <x v="646"/>
    <x v="122"/>
    <x v="645"/>
    <x v="3"/>
    <x v="3"/>
    <x v="645"/>
    <x v="447"/>
    <x v="0"/>
    <x v="0"/>
    <x v="646"/>
    <x v="4"/>
    <x v="0"/>
    <x v="4"/>
    <x v="645"/>
  </r>
  <r>
    <x v="647"/>
    <x v="473"/>
    <x v="646"/>
    <x v="6"/>
    <x v="4"/>
    <x v="646"/>
    <x v="148"/>
    <x v="4"/>
    <x v="2"/>
    <x v="647"/>
    <x v="0"/>
    <x v="1"/>
    <x v="4"/>
    <x v="646"/>
  </r>
  <r>
    <x v="648"/>
    <x v="474"/>
    <x v="647"/>
    <x v="0"/>
    <x v="1"/>
    <x v="647"/>
    <x v="448"/>
    <x v="1"/>
    <x v="3"/>
    <x v="648"/>
    <x v="1"/>
    <x v="3"/>
    <x v="1"/>
    <x v="647"/>
  </r>
  <r>
    <x v="649"/>
    <x v="475"/>
    <x v="648"/>
    <x v="0"/>
    <x v="1"/>
    <x v="648"/>
    <x v="222"/>
    <x v="0"/>
    <x v="2"/>
    <x v="649"/>
    <x v="0"/>
    <x v="1"/>
    <x v="2"/>
    <x v="648"/>
  </r>
  <r>
    <x v="650"/>
    <x v="419"/>
    <x v="649"/>
    <x v="6"/>
    <x v="1"/>
    <x v="649"/>
    <x v="449"/>
    <x v="3"/>
    <x v="3"/>
    <x v="650"/>
    <x v="0"/>
    <x v="0"/>
    <x v="2"/>
    <x v="649"/>
  </r>
  <r>
    <x v="651"/>
    <x v="476"/>
    <x v="650"/>
    <x v="3"/>
    <x v="4"/>
    <x v="650"/>
    <x v="174"/>
    <x v="0"/>
    <x v="4"/>
    <x v="651"/>
    <x v="3"/>
    <x v="2"/>
    <x v="4"/>
    <x v="650"/>
  </r>
  <r>
    <x v="652"/>
    <x v="477"/>
    <x v="651"/>
    <x v="3"/>
    <x v="0"/>
    <x v="651"/>
    <x v="450"/>
    <x v="1"/>
    <x v="0"/>
    <x v="652"/>
    <x v="2"/>
    <x v="1"/>
    <x v="0"/>
    <x v="651"/>
  </r>
  <r>
    <x v="653"/>
    <x v="402"/>
    <x v="652"/>
    <x v="4"/>
    <x v="4"/>
    <x v="652"/>
    <x v="300"/>
    <x v="2"/>
    <x v="0"/>
    <x v="653"/>
    <x v="5"/>
    <x v="3"/>
    <x v="4"/>
    <x v="652"/>
  </r>
  <r>
    <x v="654"/>
    <x v="439"/>
    <x v="653"/>
    <x v="2"/>
    <x v="4"/>
    <x v="653"/>
    <x v="451"/>
    <x v="0"/>
    <x v="2"/>
    <x v="654"/>
    <x v="2"/>
    <x v="2"/>
    <x v="0"/>
    <x v="653"/>
  </r>
  <r>
    <x v="655"/>
    <x v="369"/>
    <x v="654"/>
    <x v="3"/>
    <x v="1"/>
    <x v="654"/>
    <x v="348"/>
    <x v="0"/>
    <x v="1"/>
    <x v="655"/>
    <x v="4"/>
    <x v="3"/>
    <x v="2"/>
    <x v="654"/>
  </r>
  <r>
    <x v="656"/>
    <x v="343"/>
    <x v="655"/>
    <x v="0"/>
    <x v="1"/>
    <x v="655"/>
    <x v="452"/>
    <x v="3"/>
    <x v="0"/>
    <x v="656"/>
    <x v="0"/>
    <x v="0"/>
    <x v="3"/>
    <x v="655"/>
  </r>
  <r>
    <x v="657"/>
    <x v="478"/>
    <x v="656"/>
    <x v="2"/>
    <x v="3"/>
    <x v="656"/>
    <x v="275"/>
    <x v="4"/>
    <x v="1"/>
    <x v="657"/>
    <x v="5"/>
    <x v="1"/>
    <x v="0"/>
    <x v="656"/>
  </r>
  <r>
    <x v="658"/>
    <x v="479"/>
    <x v="657"/>
    <x v="4"/>
    <x v="1"/>
    <x v="657"/>
    <x v="247"/>
    <x v="3"/>
    <x v="2"/>
    <x v="658"/>
    <x v="4"/>
    <x v="0"/>
    <x v="4"/>
    <x v="657"/>
  </r>
  <r>
    <x v="659"/>
    <x v="480"/>
    <x v="658"/>
    <x v="1"/>
    <x v="1"/>
    <x v="658"/>
    <x v="403"/>
    <x v="3"/>
    <x v="3"/>
    <x v="659"/>
    <x v="4"/>
    <x v="3"/>
    <x v="2"/>
    <x v="658"/>
  </r>
  <r>
    <x v="660"/>
    <x v="481"/>
    <x v="659"/>
    <x v="3"/>
    <x v="1"/>
    <x v="659"/>
    <x v="133"/>
    <x v="0"/>
    <x v="0"/>
    <x v="660"/>
    <x v="0"/>
    <x v="3"/>
    <x v="3"/>
    <x v="659"/>
  </r>
  <r>
    <x v="661"/>
    <x v="252"/>
    <x v="660"/>
    <x v="2"/>
    <x v="4"/>
    <x v="660"/>
    <x v="453"/>
    <x v="0"/>
    <x v="1"/>
    <x v="661"/>
    <x v="5"/>
    <x v="1"/>
    <x v="4"/>
    <x v="660"/>
  </r>
  <r>
    <x v="662"/>
    <x v="423"/>
    <x v="661"/>
    <x v="5"/>
    <x v="4"/>
    <x v="661"/>
    <x v="454"/>
    <x v="4"/>
    <x v="2"/>
    <x v="662"/>
    <x v="1"/>
    <x v="2"/>
    <x v="3"/>
    <x v="661"/>
  </r>
  <r>
    <x v="663"/>
    <x v="116"/>
    <x v="662"/>
    <x v="0"/>
    <x v="2"/>
    <x v="662"/>
    <x v="390"/>
    <x v="0"/>
    <x v="1"/>
    <x v="663"/>
    <x v="5"/>
    <x v="1"/>
    <x v="0"/>
    <x v="662"/>
  </r>
  <r>
    <x v="664"/>
    <x v="36"/>
    <x v="236"/>
    <x v="5"/>
    <x v="3"/>
    <x v="663"/>
    <x v="455"/>
    <x v="4"/>
    <x v="0"/>
    <x v="664"/>
    <x v="3"/>
    <x v="2"/>
    <x v="3"/>
    <x v="663"/>
  </r>
  <r>
    <x v="665"/>
    <x v="468"/>
    <x v="663"/>
    <x v="2"/>
    <x v="3"/>
    <x v="664"/>
    <x v="456"/>
    <x v="1"/>
    <x v="0"/>
    <x v="665"/>
    <x v="5"/>
    <x v="3"/>
    <x v="4"/>
    <x v="664"/>
  </r>
  <r>
    <x v="666"/>
    <x v="169"/>
    <x v="664"/>
    <x v="0"/>
    <x v="3"/>
    <x v="665"/>
    <x v="430"/>
    <x v="2"/>
    <x v="1"/>
    <x v="666"/>
    <x v="4"/>
    <x v="2"/>
    <x v="2"/>
    <x v="665"/>
  </r>
  <r>
    <x v="667"/>
    <x v="71"/>
    <x v="665"/>
    <x v="5"/>
    <x v="2"/>
    <x v="342"/>
    <x v="180"/>
    <x v="3"/>
    <x v="4"/>
    <x v="667"/>
    <x v="3"/>
    <x v="0"/>
    <x v="2"/>
    <x v="666"/>
  </r>
  <r>
    <x v="668"/>
    <x v="482"/>
    <x v="666"/>
    <x v="0"/>
    <x v="1"/>
    <x v="666"/>
    <x v="139"/>
    <x v="4"/>
    <x v="2"/>
    <x v="668"/>
    <x v="1"/>
    <x v="3"/>
    <x v="3"/>
    <x v="667"/>
  </r>
  <r>
    <x v="669"/>
    <x v="483"/>
    <x v="667"/>
    <x v="6"/>
    <x v="2"/>
    <x v="667"/>
    <x v="457"/>
    <x v="0"/>
    <x v="1"/>
    <x v="669"/>
    <x v="3"/>
    <x v="2"/>
    <x v="1"/>
    <x v="668"/>
  </r>
  <r>
    <x v="670"/>
    <x v="171"/>
    <x v="668"/>
    <x v="6"/>
    <x v="3"/>
    <x v="668"/>
    <x v="300"/>
    <x v="2"/>
    <x v="4"/>
    <x v="670"/>
    <x v="2"/>
    <x v="1"/>
    <x v="4"/>
    <x v="669"/>
  </r>
  <r>
    <x v="671"/>
    <x v="484"/>
    <x v="669"/>
    <x v="3"/>
    <x v="0"/>
    <x v="669"/>
    <x v="144"/>
    <x v="3"/>
    <x v="1"/>
    <x v="671"/>
    <x v="0"/>
    <x v="3"/>
    <x v="4"/>
    <x v="670"/>
  </r>
  <r>
    <x v="672"/>
    <x v="221"/>
    <x v="670"/>
    <x v="1"/>
    <x v="1"/>
    <x v="670"/>
    <x v="433"/>
    <x v="0"/>
    <x v="0"/>
    <x v="672"/>
    <x v="7"/>
    <x v="0"/>
    <x v="0"/>
    <x v="671"/>
  </r>
  <r>
    <x v="673"/>
    <x v="485"/>
    <x v="671"/>
    <x v="2"/>
    <x v="1"/>
    <x v="671"/>
    <x v="102"/>
    <x v="2"/>
    <x v="3"/>
    <x v="673"/>
    <x v="0"/>
    <x v="0"/>
    <x v="2"/>
    <x v="672"/>
  </r>
  <r>
    <x v="674"/>
    <x v="486"/>
    <x v="672"/>
    <x v="5"/>
    <x v="3"/>
    <x v="672"/>
    <x v="458"/>
    <x v="3"/>
    <x v="3"/>
    <x v="674"/>
    <x v="6"/>
    <x v="0"/>
    <x v="3"/>
    <x v="673"/>
  </r>
  <r>
    <x v="675"/>
    <x v="76"/>
    <x v="673"/>
    <x v="6"/>
    <x v="4"/>
    <x v="673"/>
    <x v="397"/>
    <x v="0"/>
    <x v="4"/>
    <x v="675"/>
    <x v="3"/>
    <x v="2"/>
    <x v="2"/>
    <x v="674"/>
  </r>
  <r>
    <x v="676"/>
    <x v="127"/>
    <x v="674"/>
    <x v="5"/>
    <x v="1"/>
    <x v="674"/>
    <x v="454"/>
    <x v="2"/>
    <x v="1"/>
    <x v="676"/>
    <x v="4"/>
    <x v="1"/>
    <x v="0"/>
    <x v="675"/>
  </r>
  <r>
    <x v="677"/>
    <x v="487"/>
    <x v="675"/>
    <x v="2"/>
    <x v="0"/>
    <x v="675"/>
    <x v="12"/>
    <x v="1"/>
    <x v="1"/>
    <x v="677"/>
    <x v="0"/>
    <x v="1"/>
    <x v="0"/>
    <x v="676"/>
  </r>
  <r>
    <x v="678"/>
    <x v="167"/>
    <x v="676"/>
    <x v="3"/>
    <x v="4"/>
    <x v="676"/>
    <x v="190"/>
    <x v="3"/>
    <x v="0"/>
    <x v="678"/>
    <x v="3"/>
    <x v="3"/>
    <x v="3"/>
    <x v="677"/>
  </r>
  <r>
    <x v="679"/>
    <x v="488"/>
    <x v="677"/>
    <x v="2"/>
    <x v="4"/>
    <x v="677"/>
    <x v="323"/>
    <x v="1"/>
    <x v="2"/>
    <x v="679"/>
    <x v="3"/>
    <x v="1"/>
    <x v="0"/>
    <x v="678"/>
  </r>
  <r>
    <x v="680"/>
    <x v="183"/>
    <x v="678"/>
    <x v="0"/>
    <x v="4"/>
    <x v="678"/>
    <x v="459"/>
    <x v="2"/>
    <x v="2"/>
    <x v="680"/>
    <x v="1"/>
    <x v="2"/>
    <x v="3"/>
    <x v="679"/>
  </r>
  <r>
    <x v="681"/>
    <x v="489"/>
    <x v="679"/>
    <x v="2"/>
    <x v="2"/>
    <x v="679"/>
    <x v="460"/>
    <x v="0"/>
    <x v="0"/>
    <x v="681"/>
    <x v="5"/>
    <x v="2"/>
    <x v="2"/>
    <x v="680"/>
  </r>
  <r>
    <x v="682"/>
    <x v="363"/>
    <x v="680"/>
    <x v="0"/>
    <x v="4"/>
    <x v="680"/>
    <x v="367"/>
    <x v="2"/>
    <x v="1"/>
    <x v="682"/>
    <x v="3"/>
    <x v="1"/>
    <x v="4"/>
    <x v="681"/>
  </r>
  <r>
    <x v="683"/>
    <x v="490"/>
    <x v="681"/>
    <x v="6"/>
    <x v="3"/>
    <x v="681"/>
    <x v="461"/>
    <x v="4"/>
    <x v="4"/>
    <x v="683"/>
    <x v="3"/>
    <x v="1"/>
    <x v="0"/>
    <x v="682"/>
  </r>
  <r>
    <x v="684"/>
    <x v="491"/>
    <x v="682"/>
    <x v="4"/>
    <x v="3"/>
    <x v="682"/>
    <x v="462"/>
    <x v="2"/>
    <x v="0"/>
    <x v="684"/>
    <x v="2"/>
    <x v="2"/>
    <x v="2"/>
    <x v="683"/>
  </r>
  <r>
    <x v="685"/>
    <x v="492"/>
    <x v="683"/>
    <x v="6"/>
    <x v="2"/>
    <x v="683"/>
    <x v="463"/>
    <x v="0"/>
    <x v="0"/>
    <x v="685"/>
    <x v="3"/>
    <x v="1"/>
    <x v="2"/>
    <x v="684"/>
  </r>
  <r>
    <x v="686"/>
    <x v="112"/>
    <x v="684"/>
    <x v="6"/>
    <x v="4"/>
    <x v="684"/>
    <x v="464"/>
    <x v="4"/>
    <x v="4"/>
    <x v="686"/>
    <x v="4"/>
    <x v="3"/>
    <x v="3"/>
    <x v="685"/>
  </r>
  <r>
    <x v="687"/>
    <x v="493"/>
    <x v="685"/>
    <x v="2"/>
    <x v="2"/>
    <x v="685"/>
    <x v="465"/>
    <x v="3"/>
    <x v="2"/>
    <x v="687"/>
    <x v="3"/>
    <x v="1"/>
    <x v="0"/>
    <x v="686"/>
  </r>
  <r>
    <x v="688"/>
    <x v="26"/>
    <x v="686"/>
    <x v="0"/>
    <x v="3"/>
    <x v="686"/>
    <x v="432"/>
    <x v="2"/>
    <x v="1"/>
    <x v="688"/>
    <x v="2"/>
    <x v="3"/>
    <x v="3"/>
    <x v="687"/>
  </r>
  <r>
    <x v="689"/>
    <x v="193"/>
    <x v="687"/>
    <x v="2"/>
    <x v="1"/>
    <x v="687"/>
    <x v="466"/>
    <x v="1"/>
    <x v="0"/>
    <x v="689"/>
    <x v="0"/>
    <x v="2"/>
    <x v="3"/>
    <x v="688"/>
  </r>
  <r>
    <x v="690"/>
    <x v="494"/>
    <x v="688"/>
    <x v="0"/>
    <x v="2"/>
    <x v="688"/>
    <x v="35"/>
    <x v="3"/>
    <x v="2"/>
    <x v="690"/>
    <x v="9"/>
    <x v="2"/>
    <x v="0"/>
    <x v="689"/>
  </r>
  <r>
    <x v="691"/>
    <x v="167"/>
    <x v="689"/>
    <x v="5"/>
    <x v="4"/>
    <x v="689"/>
    <x v="467"/>
    <x v="4"/>
    <x v="0"/>
    <x v="691"/>
    <x v="2"/>
    <x v="2"/>
    <x v="4"/>
    <x v="690"/>
  </r>
  <r>
    <x v="692"/>
    <x v="19"/>
    <x v="690"/>
    <x v="6"/>
    <x v="0"/>
    <x v="690"/>
    <x v="322"/>
    <x v="2"/>
    <x v="3"/>
    <x v="692"/>
    <x v="3"/>
    <x v="3"/>
    <x v="0"/>
    <x v="691"/>
  </r>
  <r>
    <x v="693"/>
    <x v="495"/>
    <x v="691"/>
    <x v="0"/>
    <x v="2"/>
    <x v="691"/>
    <x v="468"/>
    <x v="0"/>
    <x v="2"/>
    <x v="693"/>
    <x v="4"/>
    <x v="2"/>
    <x v="1"/>
    <x v="692"/>
  </r>
  <r>
    <x v="694"/>
    <x v="276"/>
    <x v="692"/>
    <x v="4"/>
    <x v="3"/>
    <x v="692"/>
    <x v="285"/>
    <x v="4"/>
    <x v="0"/>
    <x v="694"/>
    <x v="2"/>
    <x v="1"/>
    <x v="2"/>
    <x v="693"/>
  </r>
  <r>
    <x v="695"/>
    <x v="432"/>
    <x v="693"/>
    <x v="4"/>
    <x v="0"/>
    <x v="693"/>
    <x v="158"/>
    <x v="1"/>
    <x v="0"/>
    <x v="695"/>
    <x v="0"/>
    <x v="1"/>
    <x v="2"/>
    <x v="694"/>
  </r>
  <r>
    <x v="696"/>
    <x v="226"/>
    <x v="694"/>
    <x v="3"/>
    <x v="3"/>
    <x v="694"/>
    <x v="469"/>
    <x v="3"/>
    <x v="4"/>
    <x v="696"/>
    <x v="6"/>
    <x v="3"/>
    <x v="3"/>
    <x v="695"/>
  </r>
  <r>
    <x v="697"/>
    <x v="496"/>
    <x v="695"/>
    <x v="4"/>
    <x v="0"/>
    <x v="695"/>
    <x v="430"/>
    <x v="4"/>
    <x v="0"/>
    <x v="697"/>
    <x v="5"/>
    <x v="3"/>
    <x v="2"/>
    <x v="696"/>
  </r>
  <r>
    <x v="698"/>
    <x v="0"/>
    <x v="696"/>
    <x v="5"/>
    <x v="1"/>
    <x v="696"/>
    <x v="382"/>
    <x v="4"/>
    <x v="3"/>
    <x v="698"/>
    <x v="7"/>
    <x v="3"/>
    <x v="0"/>
    <x v="697"/>
  </r>
  <r>
    <x v="699"/>
    <x v="497"/>
    <x v="697"/>
    <x v="5"/>
    <x v="4"/>
    <x v="697"/>
    <x v="470"/>
    <x v="3"/>
    <x v="1"/>
    <x v="699"/>
    <x v="1"/>
    <x v="2"/>
    <x v="3"/>
    <x v="698"/>
  </r>
  <r>
    <x v="700"/>
    <x v="498"/>
    <x v="698"/>
    <x v="5"/>
    <x v="1"/>
    <x v="698"/>
    <x v="471"/>
    <x v="4"/>
    <x v="2"/>
    <x v="700"/>
    <x v="1"/>
    <x v="3"/>
    <x v="0"/>
    <x v="699"/>
  </r>
  <r>
    <x v="701"/>
    <x v="499"/>
    <x v="699"/>
    <x v="0"/>
    <x v="4"/>
    <x v="699"/>
    <x v="107"/>
    <x v="2"/>
    <x v="3"/>
    <x v="701"/>
    <x v="3"/>
    <x v="1"/>
    <x v="2"/>
    <x v="700"/>
  </r>
  <r>
    <x v="702"/>
    <x v="410"/>
    <x v="700"/>
    <x v="4"/>
    <x v="4"/>
    <x v="700"/>
    <x v="432"/>
    <x v="0"/>
    <x v="2"/>
    <x v="702"/>
    <x v="5"/>
    <x v="2"/>
    <x v="2"/>
    <x v="701"/>
  </r>
  <r>
    <x v="703"/>
    <x v="500"/>
    <x v="701"/>
    <x v="6"/>
    <x v="2"/>
    <x v="701"/>
    <x v="472"/>
    <x v="4"/>
    <x v="4"/>
    <x v="703"/>
    <x v="1"/>
    <x v="3"/>
    <x v="2"/>
    <x v="702"/>
  </r>
  <r>
    <x v="704"/>
    <x v="301"/>
    <x v="702"/>
    <x v="6"/>
    <x v="3"/>
    <x v="702"/>
    <x v="145"/>
    <x v="1"/>
    <x v="3"/>
    <x v="704"/>
    <x v="6"/>
    <x v="1"/>
    <x v="4"/>
    <x v="703"/>
  </r>
  <r>
    <x v="705"/>
    <x v="501"/>
    <x v="703"/>
    <x v="0"/>
    <x v="1"/>
    <x v="703"/>
    <x v="473"/>
    <x v="0"/>
    <x v="2"/>
    <x v="705"/>
    <x v="0"/>
    <x v="1"/>
    <x v="0"/>
    <x v="704"/>
  </r>
  <r>
    <x v="706"/>
    <x v="380"/>
    <x v="704"/>
    <x v="6"/>
    <x v="0"/>
    <x v="704"/>
    <x v="310"/>
    <x v="3"/>
    <x v="2"/>
    <x v="706"/>
    <x v="6"/>
    <x v="1"/>
    <x v="3"/>
    <x v="705"/>
  </r>
  <r>
    <x v="707"/>
    <x v="377"/>
    <x v="705"/>
    <x v="3"/>
    <x v="3"/>
    <x v="705"/>
    <x v="77"/>
    <x v="3"/>
    <x v="1"/>
    <x v="707"/>
    <x v="5"/>
    <x v="0"/>
    <x v="3"/>
    <x v="706"/>
  </r>
  <r>
    <x v="708"/>
    <x v="155"/>
    <x v="706"/>
    <x v="4"/>
    <x v="2"/>
    <x v="706"/>
    <x v="430"/>
    <x v="4"/>
    <x v="4"/>
    <x v="708"/>
    <x v="1"/>
    <x v="1"/>
    <x v="0"/>
    <x v="707"/>
  </r>
  <r>
    <x v="709"/>
    <x v="34"/>
    <x v="707"/>
    <x v="6"/>
    <x v="2"/>
    <x v="707"/>
    <x v="474"/>
    <x v="1"/>
    <x v="4"/>
    <x v="709"/>
    <x v="4"/>
    <x v="1"/>
    <x v="4"/>
    <x v="708"/>
  </r>
  <r>
    <x v="710"/>
    <x v="319"/>
    <x v="708"/>
    <x v="5"/>
    <x v="0"/>
    <x v="708"/>
    <x v="475"/>
    <x v="3"/>
    <x v="2"/>
    <x v="710"/>
    <x v="8"/>
    <x v="2"/>
    <x v="4"/>
    <x v="709"/>
  </r>
  <r>
    <x v="711"/>
    <x v="502"/>
    <x v="709"/>
    <x v="2"/>
    <x v="1"/>
    <x v="709"/>
    <x v="476"/>
    <x v="1"/>
    <x v="0"/>
    <x v="711"/>
    <x v="7"/>
    <x v="3"/>
    <x v="4"/>
    <x v="710"/>
  </r>
  <r>
    <x v="712"/>
    <x v="486"/>
    <x v="557"/>
    <x v="2"/>
    <x v="1"/>
    <x v="710"/>
    <x v="477"/>
    <x v="3"/>
    <x v="4"/>
    <x v="712"/>
    <x v="0"/>
    <x v="1"/>
    <x v="2"/>
    <x v="711"/>
  </r>
  <r>
    <x v="713"/>
    <x v="370"/>
    <x v="710"/>
    <x v="2"/>
    <x v="3"/>
    <x v="711"/>
    <x v="463"/>
    <x v="1"/>
    <x v="1"/>
    <x v="713"/>
    <x v="5"/>
    <x v="0"/>
    <x v="3"/>
    <x v="712"/>
  </r>
  <r>
    <x v="714"/>
    <x v="453"/>
    <x v="711"/>
    <x v="5"/>
    <x v="2"/>
    <x v="712"/>
    <x v="250"/>
    <x v="0"/>
    <x v="4"/>
    <x v="714"/>
    <x v="9"/>
    <x v="1"/>
    <x v="3"/>
    <x v="713"/>
  </r>
  <r>
    <x v="715"/>
    <x v="503"/>
    <x v="712"/>
    <x v="4"/>
    <x v="4"/>
    <x v="713"/>
    <x v="478"/>
    <x v="1"/>
    <x v="3"/>
    <x v="715"/>
    <x v="0"/>
    <x v="1"/>
    <x v="2"/>
    <x v="714"/>
  </r>
  <r>
    <x v="716"/>
    <x v="136"/>
    <x v="713"/>
    <x v="3"/>
    <x v="4"/>
    <x v="714"/>
    <x v="18"/>
    <x v="2"/>
    <x v="4"/>
    <x v="716"/>
    <x v="4"/>
    <x v="3"/>
    <x v="4"/>
    <x v="715"/>
  </r>
  <r>
    <x v="717"/>
    <x v="504"/>
    <x v="714"/>
    <x v="3"/>
    <x v="4"/>
    <x v="715"/>
    <x v="479"/>
    <x v="1"/>
    <x v="3"/>
    <x v="717"/>
    <x v="4"/>
    <x v="3"/>
    <x v="2"/>
    <x v="716"/>
  </r>
  <r>
    <x v="718"/>
    <x v="505"/>
    <x v="715"/>
    <x v="5"/>
    <x v="3"/>
    <x v="716"/>
    <x v="480"/>
    <x v="3"/>
    <x v="1"/>
    <x v="718"/>
    <x v="2"/>
    <x v="0"/>
    <x v="4"/>
    <x v="717"/>
  </r>
  <r>
    <x v="719"/>
    <x v="506"/>
    <x v="716"/>
    <x v="5"/>
    <x v="1"/>
    <x v="717"/>
    <x v="481"/>
    <x v="0"/>
    <x v="0"/>
    <x v="719"/>
    <x v="1"/>
    <x v="1"/>
    <x v="3"/>
    <x v="718"/>
  </r>
  <r>
    <x v="720"/>
    <x v="507"/>
    <x v="717"/>
    <x v="6"/>
    <x v="0"/>
    <x v="718"/>
    <x v="482"/>
    <x v="4"/>
    <x v="4"/>
    <x v="720"/>
    <x v="8"/>
    <x v="1"/>
    <x v="0"/>
    <x v="719"/>
  </r>
  <r>
    <x v="721"/>
    <x v="508"/>
    <x v="718"/>
    <x v="6"/>
    <x v="1"/>
    <x v="719"/>
    <x v="483"/>
    <x v="2"/>
    <x v="3"/>
    <x v="721"/>
    <x v="7"/>
    <x v="2"/>
    <x v="2"/>
    <x v="720"/>
  </r>
  <r>
    <x v="722"/>
    <x v="64"/>
    <x v="719"/>
    <x v="4"/>
    <x v="2"/>
    <x v="720"/>
    <x v="244"/>
    <x v="3"/>
    <x v="4"/>
    <x v="722"/>
    <x v="9"/>
    <x v="3"/>
    <x v="0"/>
    <x v="721"/>
  </r>
  <r>
    <x v="723"/>
    <x v="509"/>
    <x v="720"/>
    <x v="6"/>
    <x v="4"/>
    <x v="721"/>
    <x v="61"/>
    <x v="4"/>
    <x v="2"/>
    <x v="723"/>
    <x v="2"/>
    <x v="0"/>
    <x v="1"/>
    <x v="722"/>
  </r>
  <r>
    <x v="724"/>
    <x v="266"/>
    <x v="721"/>
    <x v="4"/>
    <x v="4"/>
    <x v="722"/>
    <x v="257"/>
    <x v="2"/>
    <x v="2"/>
    <x v="724"/>
    <x v="4"/>
    <x v="1"/>
    <x v="1"/>
    <x v="723"/>
  </r>
  <r>
    <x v="725"/>
    <x v="255"/>
    <x v="722"/>
    <x v="3"/>
    <x v="1"/>
    <x v="723"/>
    <x v="377"/>
    <x v="3"/>
    <x v="2"/>
    <x v="725"/>
    <x v="3"/>
    <x v="2"/>
    <x v="1"/>
    <x v="724"/>
  </r>
  <r>
    <x v="726"/>
    <x v="510"/>
    <x v="723"/>
    <x v="5"/>
    <x v="3"/>
    <x v="724"/>
    <x v="484"/>
    <x v="1"/>
    <x v="3"/>
    <x v="726"/>
    <x v="4"/>
    <x v="1"/>
    <x v="3"/>
    <x v="725"/>
  </r>
  <r>
    <x v="727"/>
    <x v="470"/>
    <x v="724"/>
    <x v="3"/>
    <x v="0"/>
    <x v="725"/>
    <x v="338"/>
    <x v="1"/>
    <x v="0"/>
    <x v="727"/>
    <x v="2"/>
    <x v="0"/>
    <x v="0"/>
    <x v="726"/>
  </r>
  <r>
    <x v="728"/>
    <x v="511"/>
    <x v="725"/>
    <x v="6"/>
    <x v="3"/>
    <x v="726"/>
    <x v="485"/>
    <x v="3"/>
    <x v="0"/>
    <x v="728"/>
    <x v="2"/>
    <x v="3"/>
    <x v="2"/>
    <x v="727"/>
  </r>
  <r>
    <x v="729"/>
    <x v="102"/>
    <x v="726"/>
    <x v="1"/>
    <x v="3"/>
    <x v="727"/>
    <x v="145"/>
    <x v="3"/>
    <x v="4"/>
    <x v="729"/>
    <x v="5"/>
    <x v="0"/>
    <x v="4"/>
    <x v="728"/>
  </r>
  <r>
    <x v="730"/>
    <x v="512"/>
    <x v="727"/>
    <x v="1"/>
    <x v="2"/>
    <x v="728"/>
    <x v="208"/>
    <x v="0"/>
    <x v="3"/>
    <x v="730"/>
    <x v="4"/>
    <x v="0"/>
    <x v="2"/>
    <x v="729"/>
  </r>
  <r>
    <x v="731"/>
    <x v="267"/>
    <x v="728"/>
    <x v="4"/>
    <x v="0"/>
    <x v="729"/>
    <x v="486"/>
    <x v="2"/>
    <x v="2"/>
    <x v="731"/>
    <x v="2"/>
    <x v="2"/>
    <x v="2"/>
    <x v="730"/>
  </r>
  <r>
    <x v="732"/>
    <x v="456"/>
    <x v="729"/>
    <x v="5"/>
    <x v="2"/>
    <x v="730"/>
    <x v="466"/>
    <x v="1"/>
    <x v="3"/>
    <x v="732"/>
    <x v="7"/>
    <x v="2"/>
    <x v="4"/>
    <x v="731"/>
  </r>
  <r>
    <x v="733"/>
    <x v="513"/>
    <x v="730"/>
    <x v="2"/>
    <x v="3"/>
    <x v="731"/>
    <x v="459"/>
    <x v="4"/>
    <x v="2"/>
    <x v="733"/>
    <x v="2"/>
    <x v="0"/>
    <x v="2"/>
    <x v="732"/>
  </r>
  <r>
    <x v="734"/>
    <x v="514"/>
    <x v="731"/>
    <x v="4"/>
    <x v="3"/>
    <x v="732"/>
    <x v="245"/>
    <x v="2"/>
    <x v="2"/>
    <x v="734"/>
    <x v="5"/>
    <x v="3"/>
    <x v="3"/>
    <x v="733"/>
  </r>
  <r>
    <x v="735"/>
    <x v="515"/>
    <x v="732"/>
    <x v="0"/>
    <x v="3"/>
    <x v="733"/>
    <x v="319"/>
    <x v="0"/>
    <x v="4"/>
    <x v="735"/>
    <x v="5"/>
    <x v="2"/>
    <x v="2"/>
    <x v="734"/>
  </r>
  <r>
    <x v="736"/>
    <x v="516"/>
    <x v="733"/>
    <x v="0"/>
    <x v="0"/>
    <x v="734"/>
    <x v="386"/>
    <x v="2"/>
    <x v="4"/>
    <x v="736"/>
    <x v="5"/>
    <x v="1"/>
    <x v="4"/>
    <x v="735"/>
  </r>
  <r>
    <x v="737"/>
    <x v="517"/>
    <x v="734"/>
    <x v="1"/>
    <x v="3"/>
    <x v="735"/>
    <x v="487"/>
    <x v="4"/>
    <x v="4"/>
    <x v="737"/>
    <x v="6"/>
    <x v="1"/>
    <x v="0"/>
    <x v="736"/>
  </r>
  <r>
    <x v="738"/>
    <x v="518"/>
    <x v="735"/>
    <x v="1"/>
    <x v="1"/>
    <x v="736"/>
    <x v="488"/>
    <x v="2"/>
    <x v="0"/>
    <x v="738"/>
    <x v="3"/>
    <x v="0"/>
    <x v="2"/>
    <x v="737"/>
  </r>
  <r>
    <x v="739"/>
    <x v="136"/>
    <x v="736"/>
    <x v="1"/>
    <x v="3"/>
    <x v="737"/>
    <x v="122"/>
    <x v="4"/>
    <x v="3"/>
    <x v="739"/>
    <x v="4"/>
    <x v="0"/>
    <x v="3"/>
    <x v="738"/>
  </r>
  <r>
    <x v="740"/>
    <x v="351"/>
    <x v="737"/>
    <x v="6"/>
    <x v="1"/>
    <x v="738"/>
    <x v="339"/>
    <x v="4"/>
    <x v="4"/>
    <x v="740"/>
    <x v="0"/>
    <x v="2"/>
    <x v="4"/>
    <x v="739"/>
  </r>
  <r>
    <x v="741"/>
    <x v="185"/>
    <x v="738"/>
    <x v="0"/>
    <x v="0"/>
    <x v="739"/>
    <x v="489"/>
    <x v="3"/>
    <x v="3"/>
    <x v="741"/>
    <x v="8"/>
    <x v="2"/>
    <x v="1"/>
    <x v="740"/>
  </r>
  <r>
    <x v="742"/>
    <x v="519"/>
    <x v="739"/>
    <x v="5"/>
    <x v="4"/>
    <x v="740"/>
    <x v="254"/>
    <x v="4"/>
    <x v="2"/>
    <x v="742"/>
    <x v="0"/>
    <x v="0"/>
    <x v="4"/>
    <x v="741"/>
  </r>
  <r>
    <x v="743"/>
    <x v="430"/>
    <x v="740"/>
    <x v="0"/>
    <x v="2"/>
    <x v="741"/>
    <x v="38"/>
    <x v="3"/>
    <x v="2"/>
    <x v="743"/>
    <x v="9"/>
    <x v="3"/>
    <x v="0"/>
    <x v="742"/>
  </r>
  <r>
    <x v="744"/>
    <x v="520"/>
    <x v="741"/>
    <x v="2"/>
    <x v="1"/>
    <x v="742"/>
    <x v="490"/>
    <x v="4"/>
    <x v="3"/>
    <x v="744"/>
    <x v="3"/>
    <x v="0"/>
    <x v="4"/>
    <x v="743"/>
  </r>
  <r>
    <x v="745"/>
    <x v="521"/>
    <x v="742"/>
    <x v="4"/>
    <x v="3"/>
    <x v="743"/>
    <x v="491"/>
    <x v="0"/>
    <x v="4"/>
    <x v="745"/>
    <x v="0"/>
    <x v="1"/>
    <x v="2"/>
    <x v="744"/>
  </r>
  <r>
    <x v="746"/>
    <x v="522"/>
    <x v="743"/>
    <x v="6"/>
    <x v="4"/>
    <x v="744"/>
    <x v="492"/>
    <x v="1"/>
    <x v="1"/>
    <x v="746"/>
    <x v="5"/>
    <x v="3"/>
    <x v="1"/>
    <x v="745"/>
  </r>
  <r>
    <x v="747"/>
    <x v="495"/>
    <x v="744"/>
    <x v="2"/>
    <x v="1"/>
    <x v="745"/>
    <x v="493"/>
    <x v="0"/>
    <x v="3"/>
    <x v="747"/>
    <x v="0"/>
    <x v="1"/>
    <x v="0"/>
    <x v="746"/>
  </r>
  <r>
    <x v="748"/>
    <x v="523"/>
    <x v="745"/>
    <x v="2"/>
    <x v="4"/>
    <x v="746"/>
    <x v="379"/>
    <x v="2"/>
    <x v="0"/>
    <x v="748"/>
    <x v="2"/>
    <x v="1"/>
    <x v="1"/>
    <x v="747"/>
  </r>
  <r>
    <x v="749"/>
    <x v="524"/>
    <x v="746"/>
    <x v="5"/>
    <x v="2"/>
    <x v="747"/>
    <x v="494"/>
    <x v="0"/>
    <x v="4"/>
    <x v="749"/>
    <x v="4"/>
    <x v="1"/>
    <x v="0"/>
    <x v="748"/>
  </r>
  <r>
    <x v="750"/>
    <x v="90"/>
    <x v="747"/>
    <x v="2"/>
    <x v="3"/>
    <x v="748"/>
    <x v="495"/>
    <x v="2"/>
    <x v="2"/>
    <x v="750"/>
    <x v="0"/>
    <x v="1"/>
    <x v="2"/>
    <x v="749"/>
  </r>
  <r>
    <x v="751"/>
    <x v="16"/>
    <x v="748"/>
    <x v="2"/>
    <x v="1"/>
    <x v="749"/>
    <x v="496"/>
    <x v="3"/>
    <x v="4"/>
    <x v="751"/>
    <x v="0"/>
    <x v="1"/>
    <x v="3"/>
    <x v="750"/>
  </r>
  <r>
    <x v="752"/>
    <x v="525"/>
    <x v="749"/>
    <x v="1"/>
    <x v="3"/>
    <x v="750"/>
    <x v="238"/>
    <x v="2"/>
    <x v="3"/>
    <x v="752"/>
    <x v="2"/>
    <x v="1"/>
    <x v="4"/>
    <x v="751"/>
  </r>
  <r>
    <x v="753"/>
    <x v="526"/>
    <x v="750"/>
    <x v="1"/>
    <x v="1"/>
    <x v="751"/>
    <x v="497"/>
    <x v="0"/>
    <x v="2"/>
    <x v="753"/>
    <x v="0"/>
    <x v="1"/>
    <x v="0"/>
    <x v="752"/>
  </r>
  <r>
    <x v="754"/>
    <x v="133"/>
    <x v="751"/>
    <x v="4"/>
    <x v="1"/>
    <x v="752"/>
    <x v="498"/>
    <x v="2"/>
    <x v="2"/>
    <x v="754"/>
    <x v="1"/>
    <x v="3"/>
    <x v="2"/>
    <x v="753"/>
  </r>
  <r>
    <x v="755"/>
    <x v="527"/>
    <x v="752"/>
    <x v="6"/>
    <x v="4"/>
    <x v="753"/>
    <x v="499"/>
    <x v="2"/>
    <x v="4"/>
    <x v="755"/>
    <x v="4"/>
    <x v="2"/>
    <x v="2"/>
    <x v="754"/>
  </r>
  <r>
    <x v="756"/>
    <x v="326"/>
    <x v="753"/>
    <x v="1"/>
    <x v="2"/>
    <x v="754"/>
    <x v="54"/>
    <x v="3"/>
    <x v="0"/>
    <x v="756"/>
    <x v="5"/>
    <x v="2"/>
    <x v="4"/>
    <x v="755"/>
  </r>
  <r>
    <x v="757"/>
    <x v="27"/>
    <x v="754"/>
    <x v="6"/>
    <x v="2"/>
    <x v="755"/>
    <x v="171"/>
    <x v="0"/>
    <x v="3"/>
    <x v="757"/>
    <x v="7"/>
    <x v="1"/>
    <x v="4"/>
    <x v="756"/>
  </r>
  <r>
    <x v="758"/>
    <x v="465"/>
    <x v="755"/>
    <x v="2"/>
    <x v="4"/>
    <x v="756"/>
    <x v="69"/>
    <x v="2"/>
    <x v="1"/>
    <x v="758"/>
    <x v="2"/>
    <x v="3"/>
    <x v="3"/>
    <x v="757"/>
  </r>
  <r>
    <x v="759"/>
    <x v="528"/>
    <x v="756"/>
    <x v="6"/>
    <x v="4"/>
    <x v="757"/>
    <x v="500"/>
    <x v="4"/>
    <x v="4"/>
    <x v="759"/>
    <x v="1"/>
    <x v="1"/>
    <x v="3"/>
    <x v="758"/>
  </r>
  <r>
    <x v="760"/>
    <x v="403"/>
    <x v="757"/>
    <x v="6"/>
    <x v="2"/>
    <x v="758"/>
    <x v="160"/>
    <x v="0"/>
    <x v="1"/>
    <x v="760"/>
    <x v="3"/>
    <x v="2"/>
    <x v="4"/>
    <x v="759"/>
  </r>
  <r>
    <x v="761"/>
    <x v="454"/>
    <x v="758"/>
    <x v="6"/>
    <x v="3"/>
    <x v="759"/>
    <x v="501"/>
    <x v="0"/>
    <x v="3"/>
    <x v="761"/>
    <x v="0"/>
    <x v="2"/>
    <x v="4"/>
    <x v="760"/>
  </r>
  <r>
    <x v="762"/>
    <x v="529"/>
    <x v="759"/>
    <x v="1"/>
    <x v="4"/>
    <x v="760"/>
    <x v="84"/>
    <x v="4"/>
    <x v="2"/>
    <x v="762"/>
    <x v="2"/>
    <x v="1"/>
    <x v="2"/>
    <x v="761"/>
  </r>
  <r>
    <x v="763"/>
    <x v="388"/>
    <x v="760"/>
    <x v="5"/>
    <x v="2"/>
    <x v="761"/>
    <x v="91"/>
    <x v="1"/>
    <x v="3"/>
    <x v="763"/>
    <x v="4"/>
    <x v="1"/>
    <x v="2"/>
    <x v="762"/>
  </r>
  <r>
    <x v="764"/>
    <x v="416"/>
    <x v="761"/>
    <x v="5"/>
    <x v="0"/>
    <x v="762"/>
    <x v="155"/>
    <x v="2"/>
    <x v="1"/>
    <x v="764"/>
    <x v="8"/>
    <x v="1"/>
    <x v="2"/>
    <x v="763"/>
  </r>
  <r>
    <x v="765"/>
    <x v="426"/>
    <x v="762"/>
    <x v="5"/>
    <x v="1"/>
    <x v="763"/>
    <x v="478"/>
    <x v="0"/>
    <x v="2"/>
    <x v="765"/>
    <x v="3"/>
    <x v="0"/>
    <x v="4"/>
    <x v="764"/>
  </r>
  <r>
    <x v="766"/>
    <x v="55"/>
    <x v="763"/>
    <x v="4"/>
    <x v="1"/>
    <x v="764"/>
    <x v="294"/>
    <x v="0"/>
    <x v="4"/>
    <x v="766"/>
    <x v="1"/>
    <x v="1"/>
    <x v="1"/>
    <x v="765"/>
  </r>
  <r>
    <x v="767"/>
    <x v="479"/>
    <x v="764"/>
    <x v="2"/>
    <x v="1"/>
    <x v="765"/>
    <x v="502"/>
    <x v="2"/>
    <x v="3"/>
    <x v="767"/>
    <x v="0"/>
    <x v="2"/>
    <x v="0"/>
    <x v="766"/>
  </r>
  <r>
    <x v="768"/>
    <x v="355"/>
    <x v="765"/>
    <x v="2"/>
    <x v="0"/>
    <x v="766"/>
    <x v="503"/>
    <x v="4"/>
    <x v="1"/>
    <x v="768"/>
    <x v="6"/>
    <x v="3"/>
    <x v="2"/>
    <x v="767"/>
  </r>
  <r>
    <x v="769"/>
    <x v="117"/>
    <x v="766"/>
    <x v="4"/>
    <x v="3"/>
    <x v="767"/>
    <x v="28"/>
    <x v="4"/>
    <x v="3"/>
    <x v="769"/>
    <x v="3"/>
    <x v="2"/>
    <x v="2"/>
    <x v="768"/>
  </r>
  <r>
    <x v="770"/>
    <x v="530"/>
    <x v="767"/>
    <x v="6"/>
    <x v="2"/>
    <x v="768"/>
    <x v="347"/>
    <x v="1"/>
    <x v="2"/>
    <x v="770"/>
    <x v="5"/>
    <x v="2"/>
    <x v="4"/>
    <x v="769"/>
  </r>
  <r>
    <x v="771"/>
    <x v="520"/>
    <x v="768"/>
    <x v="1"/>
    <x v="4"/>
    <x v="769"/>
    <x v="314"/>
    <x v="0"/>
    <x v="1"/>
    <x v="771"/>
    <x v="2"/>
    <x v="1"/>
    <x v="4"/>
    <x v="770"/>
  </r>
  <r>
    <x v="772"/>
    <x v="118"/>
    <x v="769"/>
    <x v="0"/>
    <x v="2"/>
    <x v="770"/>
    <x v="504"/>
    <x v="1"/>
    <x v="3"/>
    <x v="772"/>
    <x v="4"/>
    <x v="2"/>
    <x v="0"/>
    <x v="771"/>
  </r>
  <r>
    <x v="773"/>
    <x v="164"/>
    <x v="770"/>
    <x v="1"/>
    <x v="1"/>
    <x v="771"/>
    <x v="505"/>
    <x v="4"/>
    <x v="1"/>
    <x v="773"/>
    <x v="0"/>
    <x v="2"/>
    <x v="3"/>
    <x v="772"/>
  </r>
  <r>
    <x v="774"/>
    <x v="198"/>
    <x v="771"/>
    <x v="3"/>
    <x v="4"/>
    <x v="772"/>
    <x v="506"/>
    <x v="2"/>
    <x v="1"/>
    <x v="774"/>
    <x v="1"/>
    <x v="1"/>
    <x v="0"/>
    <x v="773"/>
  </r>
  <r>
    <x v="775"/>
    <x v="190"/>
    <x v="772"/>
    <x v="1"/>
    <x v="1"/>
    <x v="773"/>
    <x v="21"/>
    <x v="1"/>
    <x v="1"/>
    <x v="775"/>
    <x v="3"/>
    <x v="2"/>
    <x v="4"/>
    <x v="774"/>
  </r>
  <r>
    <x v="776"/>
    <x v="531"/>
    <x v="773"/>
    <x v="2"/>
    <x v="2"/>
    <x v="774"/>
    <x v="507"/>
    <x v="4"/>
    <x v="2"/>
    <x v="776"/>
    <x v="3"/>
    <x v="3"/>
    <x v="4"/>
    <x v="775"/>
  </r>
  <r>
    <x v="777"/>
    <x v="438"/>
    <x v="774"/>
    <x v="3"/>
    <x v="0"/>
    <x v="775"/>
    <x v="22"/>
    <x v="1"/>
    <x v="1"/>
    <x v="777"/>
    <x v="0"/>
    <x v="2"/>
    <x v="3"/>
    <x v="776"/>
  </r>
  <r>
    <x v="778"/>
    <x v="200"/>
    <x v="775"/>
    <x v="5"/>
    <x v="3"/>
    <x v="776"/>
    <x v="508"/>
    <x v="2"/>
    <x v="0"/>
    <x v="778"/>
    <x v="2"/>
    <x v="3"/>
    <x v="4"/>
    <x v="777"/>
  </r>
  <r>
    <x v="779"/>
    <x v="142"/>
    <x v="776"/>
    <x v="1"/>
    <x v="4"/>
    <x v="777"/>
    <x v="509"/>
    <x v="0"/>
    <x v="4"/>
    <x v="779"/>
    <x v="2"/>
    <x v="1"/>
    <x v="2"/>
    <x v="778"/>
  </r>
  <r>
    <x v="780"/>
    <x v="74"/>
    <x v="777"/>
    <x v="5"/>
    <x v="3"/>
    <x v="778"/>
    <x v="345"/>
    <x v="1"/>
    <x v="1"/>
    <x v="780"/>
    <x v="4"/>
    <x v="3"/>
    <x v="4"/>
    <x v="779"/>
  </r>
  <r>
    <x v="781"/>
    <x v="532"/>
    <x v="778"/>
    <x v="1"/>
    <x v="0"/>
    <x v="779"/>
    <x v="5"/>
    <x v="3"/>
    <x v="3"/>
    <x v="781"/>
    <x v="3"/>
    <x v="1"/>
    <x v="1"/>
    <x v="780"/>
  </r>
  <r>
    <x v="782"/>
    <x v="533"/>
    <x v="779"/>
    <x v="0"/>
    <x v="1"/>
    <x v="780"/>
    <x v="414"/>
    <x v="1"/>
    <x v="2"/>
    <x v="782"/>
    <x v="5"/>
    <x v="0"/>
    <x v="1"/>
    <x v="781"/>
  </r>
  <r>
    <x v="783"/>
    <x v="534"/>
    <x v="780"/>
    <x v="4"/>
    <x v="2"/>
    <x v="781"/>
    <x v="478"/>
    <x v="3"/>
    <x v="2"/>
    <x v="783"/>
    <x v="3"/>
    <x v="1"/>
    <x v="3"/>
    <x v="782"/>
  </r>
  <r>
    <x v="784"/>
    <x v="535"/>
    <x v="781"/>
    <x v="5"/>
    <x v="2"/>
    <x v="782"/>
    <x v="49"/>
    <x v="2"/>
    <x v="4"/>
    <x v="784"/>
    <x v="9"/>
    <x v="3"/>
    <x v="1"/>
    <x v="783"/>
  </r>
  <r>
    <x v="785"/>
    <x v="536"/>
    <x v="782"/>
    <x v="3"/>
    <x v="2"/>
    <x v="783"/>
    <x v="510"/>
    <x v="2"/>
    <x v="4"/>
    <x v="785"/>
    <x v="9"/>
    <x v="0"/>
    <x v="0"/>
    <x v="784"/>
  </r>
  <r>
    <x v="786"/>
    <x v="421"/>
    <x v="783"/>
    <x v="3"/>
    <x v="0"/>
    <x v="784"/>
    <x v="511"/>
    <x v="1"/>
    <x v="1"/>
    <x v="786"/>
    <x v="2"/>
    <x v="2"/>
    <x v="1"/>
    <x v="785"/>
  </r>
  <r>
    <x v="787"/>
    <x v="537"/>
    <x v="784"/>
    <x v="6"/>
    <x v="3"/>
    <x v="785"/>
    <x v="512"/>
    <x v="4"/>
    <x v="3"/>
    <x v="787"/>
    <x v="0"/>
    <x v="2"/>
    <x v="4"/>
    <x v="786"/>
  </r>
  <r>
    <x v="788"/>
    <x v="208"/>
    <x v="785"/>
    <x v="3"/>
    <x v="1"/>
    <x v="786"/>
    <x v="513"/>
    <x v="1"/>
    <x v="4"/>
    <x v="788"/>
    <x v="3"/>
    <x v="1"/>
    <x v="0"/>
    <x v="787"/>
  </r>
  <r>
    <x v="789"/>
    <x v="538"/>
    <x v="786"/>
    <x v="2"/>
    <x v="0"/>
    <x v="787"/>
    <x v="514"/>
    <x v="1"/>
    <x v="3"/>
    <x v="789"/>
    <x v="8"/>
    <x v="0"/>
    <x v="2"/>
    <x v="788"/>
  </r>
  <r>
    <x v="790"/>
    <x v="154"/>
    <x v="787"/>
    <x v="5"/>
    <x v="3"/>
    <x v="788"/>
    <x v="515"/>
    <x v="3"/>
    <x v="4"/>
    <x v="790"/>
    <x v="4"/>
    <x v="2"/>
    <x v="4"/>
    <x v="789"/>
  </r>
  <r>
    <x v="791"/>
    <x v="539"/>
    <x v="788"/>
    <x v="3"/>
    <x v="3"/>
    <x v="789"/>
    <x v="24"/>
    <x v="4"/>
    <x v="4"/>
    <x v="791"/>
    <x v="2"/>
    <x v="2"/>
    <x v="2"/>
    <x v="790"/>
  </r>
  <r>
    <x v="792"/>
    <x v="379"/>
    <x v="789"/>
    <x v="6"/>
    <x v="1"/>
    <x v="790"/>
    <x v="516"/>
    <x v="0"/>
    <x v="2"/>
    <x v="792"/>
    <x v="5"/>
    <x v="3"/>
    <x v="3"/>
    <x v="791"/>
  </r>
  <r>
    <x v="793"/>
    <x v="116"/>
    <x v="790"/>
    <x v="3"/>
    <x v="0"/>
    <x v="791"/>
    <x v="335"/>
    <x v="0"/>
    <x v="3"/>
    <x v="793"/>
    <x v="2"/>
    <x v="2"/>
    <x v="1"/>
    <x v="792"/>
  </r>
  <r>
    <x v="794"/>
    <x v="338"/>
    <x v="791"/>
    <x v="4"/>
    <x v="3"/>
    <x v="792"/>
    <x v="517"/>
    <x v="1"/>
    <x v="3"/>
    <x v="794"/>
    <x v="6"/>
    <x v="1"/>
    <x v="0"/>
    <x v="793"/>
  </r>
  <r>
    <x v="795"/>
    <x v="540"/>
    <x v="792"/>
    <x v="5"/>
    <x v="3"/>
    <x v="793"/>
    <x v="518"/>
    <x v="1"/>
    <x v="4"/>
    <x v="795"/>
    <x v="0"/>
    <x v="0"/>
    <x v="0"/>
    <x v="794"/>
  </r>
  <r>
    <x v="796"/>
    <x v="541"/>
    <x v="793"/>
    <x v="1"/>
    <x v="4"/>
    <x v="794"/>
    <x v="189"/>
    <x v="3"/>
    <x v="2"/>
    <x v="796"/>
    <x v="2"/>
    <x v="3"/>
    <x v="3"/>
    <x v="795"/>
  </r>
  <r>
    <x v="797"/>
    <x v="146"/>
    <x v="794"/>
    <x v="5"/>
    <x v="1"/>
    <x v="795"/>
    <x v="519"/>
    <x v="0"/>
    <x v="2"/>
    <x v="797"/>
    <x v="7"/>
    <x v="2"/>
    <x v="3"/>
    <x v="796"/>
  </r>
  <r>
    <x v="798"/>
    <x v="542"/>
    <x v="795"/>
    <x v="1"/>
    <x v="0"/>
    <x v="796"/>
    <x v="262"/>
    <x v="0"/>
    <x v="2"/>
    <x v="798"/>
    <x v="6"/>
    <x v="1"/>
    <x v="2"/>
    <x v="797"/>
  </r>
  <r>
    <x v="799"/>
    <x v="397"/>
    <x v="796"/>
    <x v="5"/>
    <x v="3"/>
    <x v="797"/>
    <x v="228"/>
    <x v="0"/>
    <x v="2"/>
    <x v="799"/>
    <x v="4"/>
    <x v="1"/>
    <x v="2"/>
    <x v="798"/>
  </r>
  <r>
    <x v="800"/>
    <x v="210"/>
    <x v="797"/>
    <x v="2"/>
    <x v="2"/>
    <x v="798"/>
    <x v="520"/>
    <x v="1"/>
    <x v="2"/>
    <x v="800"/>
    <x v="1"/>
    <x v="3"/>
    <x v="3"/>
    <x v="799"/>
  </r>
  <r>
    <x v="801"/>
    <x v="71"/>
    <x v="27"/>
    <x v="4"/>
    <x v="3"/>
    <x v="799"/>
    <x v="521"/>
    <x v="0"/>
    <x v="4"/>
    <x v="801"/>
    <x v="2"/>
    <x v="1"/>
    <x v="3"/>
    <x v="800"/>
  </r>
  <r>
    <x v="802"/>
    <x v="11"/>
    <x v="798"/>
    <x v="3"/>
    <x v="0"/>
    <x v="800"/>
    <x v="522"/>
    <x v="3"/>
    <x v="1"/>
    <x v="802"/>
    <x v="5"/>
    <x v="1"/>
    <x v="2"/>
    <x v="801"/>
  </r>
  <r>
    <x v="803"/>
    <x v="38"/>
    <x v="799"/>
    <x v="0"/>
    <x v="0"/>
    <x v="801"/>
    <x v="44"/>
    <x v="0"/>
    <x v="2"/>
    <x v="803"/>
    <x v="3"/>
    <x v="0"/>
    <x v="1"/>
    <x v="802"/>
  </r>
  <r>
    <x v="804"/>
    <x v="543"/>
    <x v="800"/>
    <x v="3"/>
    <x v="4"/>
    <x v="802"/>
    <x v="523"/>
    <x v="1"/>
    <x v="3"/>
    <x v="804"/>
    <x v="2"/>
    <x v="1"/>
    <x v="2"/>
    <x v="803"/>
  </r>
  <r>
    <x v="805"/>
    <x v="12"/>
    <x v="801"/>
    <x v="5"/>
    <x v="0"/>
    <x v="803"/>
    <x v="524"/>
    <x v="3"/>
    <x v="1"/>
    <x v="805"/>
    <x v="8"/>
    <x v="0"/>
    <x v="2"/>
    <x v="804"/>
  </r>
  <r>
    <x v="806"/>
    <x v="544"/>
    <x v="802"/>
    <x v="3"/>
    <x v="0"/>
    <x v="804"/>
    <x v="240"/>
    <x v="1"/>
    <x v="4"/>
    <x v="806"/>
    <x v="6"/>
    <x v="3"/>
    <x v="0"/>
    <x v="805"/>
  </r>
  <r>
    <x v="807"/>
    <x v="337"/>
    <x v="803"/>
    <x v="0"/>
    <x v="4"/>
    <x v="805"/>
    <x v="525"/>
    <x v="1"/>
    <x v="3"/>
    <x v="807"/>
    <x v="3"/>
    <x v="0"/>
    <x v="4"/>
    <x v="806"/>
  </r>
  <r>
    <x v="808"/>
    <x v="545"/>
    <x v="804"/>
    <x v="6"/>
    <x v="4"/>
    <x v="806"/>
    <x v="526"/>
    <x v="2"/>
    <x v="0"/>
    <x v="808"/>
    <x v="1"/>
    <x v="2"/>
    <x v="4"/>
    <x v="807"/>
  </r>
  <r>
    <x v="809"/>
    <x v="398"/>
    <x v="805"/>
    <x v="6"/>
    <x v="0"/>
    <x v="807"/>
    <x v="60"/>
    <x v="0"/>
    <x v="0"/>
    <x v="809"/>
    <x v="8"/>
    <x v="0"/>
    <x v="0"/>
    <x v="808"/>
  </r>
  <r>
    <x v="810"/>
    <x v="546"/>
    <x v="806"/>
    <x v="2"/>
    <x v="2"/>
    <x v="808"/>
    <x v="527"/>
    <x v="2"/>
    <x v="1"/>
    <x v="810"/>
    <x v="3"/>
    <x v="2"/>
    <x v="1"/>
    <x v="809"/>
  </r>
  <r>
    <x v="811"/>
    <x v="212"/>
    <x v="807"/>
    <x v="5"/>
    <x v="1"/>
    <x v="809"/>
    <x v="497"/>
    <x v="3"/>
    <x v="0"/>
    <x v="811"/>
    <x v="0"/>
    <x v="0"/>
    <x v="2"/>
    <x v="810"/>
  </r>
  <r>
    <x v="812"/>
    <x v="547"/>
    <x v="808"/>
    <x v="1"/>
    <x v="1"/>
    <x v="810"/>
    <x v="228"/>
    <x v="2"/>
    <x v="1"/>
    <x v="812"/>
    <x v="5"/>
    <x v="1"/>
    <x v="4"/>
    <x v="811"/>
  </r>
  <r>
    <x v="813"/>
    <x v="175"/>
    <x v="809"/>
    <x v="5"/>
    <x v="0"/>
    <x v="811"/>
    <x v="239"/>
    <x v="0"/>
    <x v="1"/>
    <x v="813"/>
    <x v="2"/>
    <x v="1"/>
    <x v="2"/>
    <x v="812"/>
  </r>
  <r>
    <x v="814"/>
    <x v="218"/>
    <x v="810"/>
    <x v="3"/>
    <x v="3"/>
    <x v="812"/>
    <x v="528"/>
    <x v="0"/>
    <x v="4"/>
    <x v="814"/>
    <x v="4"/>
    <x v="3"/>
    <x v="0"/>
    <x v="813"/>
  </r>
  <r>
    <x v="815"/>
    <x v="548"/>
    <x v="811"/>
    <x v="4"/>
    <x v="4"/>
    <x v="813"/>
    <x v="529"/>
    <x v="3"/>
    <x v="1"/>
    <x v="815"/>
    <x v="2"/>
    <x v="3"/>
    <x v="0"/>
    <x v="814"/>
  </r>
  <r>
    <x v="816"/>
    <x v="444"/>
    <x v="812"/>
    <x v="2"/>
    <x v="0"/>
    <x v="814"/>
    <x v="191"/>
    <x v="2"/>
    <x v="4"/>
    <x v="816"/>
    <x v="2"/>
    <x v="3"/>
    <x v="1"/>
    <x v="815"/>
  </r>
  <r>
    <x v="817"/>
    <x v="469"/>
    <x v="813"/>
    <x v="3"/>
    <x v="3"/>
    <x v="815"/>
    <x v="530"/>
    <x v="2"/>
    <x v="3"/>
    <x v="817"/>
    <x v="0"/>
    <x v="3"/>
    <x v="2"/>
    <x v="816"/>
  </r>
  <r>
    <x v="818"/>
    <x v="521"/>
    <x v="814"/>
    <x v="1"/>
    <x v="3"/>
    <x v="816"/>
    <x v="458"/>
    <x v="2"/>
    <x v="1"/>
    <x v="818"/>
    <x v="6"/>
    <x v="3"/>
    <x v="1"/>
    <x v="817"/>
  </r>
  <r>
    <x v="819"/>
    <x v="335"/>
    <x v="815"/>
    <x v="1"/>
    <x v="1"/>
    <x v="817"/>
    <x v="531"/>
    <x v="0"/>
    <x v="1"/>
    <x v="819"/>
    <x v="0"/>
    <x v="0"/>
    <x v="4"/>
    <x v="818"/>
  </r>
  <r>
    <x v="820"/>
    <x v="156"/>
    <x v="816"/>
    <x v="1"/>
    <x v="0"/>
    <x v="818"/>
    <x v="296"/>
    <x v="4"/>
    <x v="2"/>
    <x v="820"/>
    <x v="5"/>
    <x v="1"/>
    <x v="2"/>
    <x v="819"/>
  </r>
  <r>
    <x v="821"/>
    <x v="549"/>
    <x v="817"/>
    <x v="5"/>
    <x v="3"/>
    <x v="819"/>
    <x v="288"/>
    <x v="2"/>
    <x v="3"/>
    <x v="821"/>
    <x v="3"/>
    <x v="0"/>
    <x v="3"/>
    <x v="820"/>
  </r>
  <r>
    <x v="822"/>
    <x v="175"/>
    <x v="818"/>
    <x v="1"/>
    <x v="2"/>
    <x v="820"/>
    <x v="66"/>
    <x v="3"/>
    <x v="2"/>
    <x v="822"/>
    <x v="9"/>
    <x v="0"/>
    <x v="4"/>
    <x v="821"/>
  </r>
  <r>
    <x v="823"/>
    <x v="550"/>
    <x v="819"/>
    <x v="5"/>
    <x v="3"/>
    <x v="821"/>
    <x v="532"/>
    <x v="2"/>
    <x v="0"/>
    <x v="823"/>
    <x v="2"/>
    <x v="3"/>
    <x v="0"/>
    <x v="822"/>
  </r>
  <r>
    <x v="824"/>
    <x v="193"/>
    <x v="820"/>
    <x v="0"/>
    <x v="4"/>
    <x v="822"/>
    <x v="533"/>
    <x v="2"/>
    <x v="2"/>
    <x v="824"/>
    <x v="1"/>
    <x v="1"/>
    <x v="3"/>
    <x v="823"/>
  </r>
  <r>
    <x v="825"/>
    <x v="18"/>
    <x v="821"/>
    <x v="6"/>
    <x v="0"/>
    <x v="823"/>
    <x v="534"/>
    <x v="1"/>
    <x v="2"/>
    <x v="825"/>
    <x v="0"/>
    <x v="1"/>
    <x v="0"/>
    <x v="824"/>
  </r>
  <r>
    <x v="826"/>
    <x v="177"/>
    <x v="822"/>
    <x v="4"/>
    <x v="4"/>
    <x v="824"/>
    <x v="160"/>
    <x v="1"/>
    <x v="2"/>
    <x v="826"/>
    <x v="2"/>
    <x v="3"/>
    <x v="2"/>
    <x v="825"/>
  </r>
  <r>
    <x v="827"/>
    <x v="551"/>
    <x v="823"/>
    <x v="2"/>
    <x v="1"/>
    <x v="825"/>
    <x v="187"/>
    <x v="4"/>
    <x v="3"/>
    <x v="827"/>
    <x v="3"/>
    <x v="3"/>
    <x v="0"/>
    <x v="826"/>
  </r>
  <r>
    <x v="828"/>
    <x v="25"/>
    <x v="824"/>
    <x v="3"/>
    <x v="3"/>
    <x v="826"/>
    <x v="535"/>
    <x v="4"/>
    <x v="0"/>
    <x v="828"/>
    <x v="3"/>
    <x v="1"/>
    <x v="0"/>
    <x v="827"/>
  </r>
  <r>
    <x v="829"/>
    <x v="483"/>
    <x v="825"/>
    <x v="0"/>
    <x v="2"/>
    <x v="827"/>
    <x v="536"/>
    <x v="0"/>
    <x v="3"/>
    <x v="829"/>
    <x v="5"/>
    <x v="3"/>
    <x v="0"/>
    <x v="828"/>
  </r>
  <r>
    <x v="830"/>
    <x v="218"/>
    <x v="826"/>
    <x v="2"/>
    <x v="3"/>
    <x v="828"/>
    <x v="537"/>
    <x v="4"/>
    <x v="3"/>
    <x v="830"/>
    <x v="3"/>
    <x v="0"/>
    <x v="2"/>
    <x v="829"/>
  </r>
  <r>
    <x v="831"/>
    <x v="552"/>
    <x v="827"/>
    <x v="4"/>
    <x v="1"/>
    <x v="829"/>
    <x v="441"/>
    <x v="1"/>
    <x v="4"/>
    <x v="831"/>
    <x v="3"/>
    <x v="2"/>
    <x v="4"/>
    <x v="830"/>
  </r>
  <r>
    <x v="832"/>
    <x v="553"/>
    <x v="828"/>
    <x v="3"/>
    <x v="0"/>
    <x v="830"/>
    <x v="13"/>
    <x v="1"/>
    <x v="4"/>
    <x v="832"/>
    <x v="8"/>
    <x v="0"/>
    <x v="1"/>
    <x v="831"/>
  </r>
  <r>
    <x v="833"/>
    <x v="387"/>
    <x v="829"/>
    <x v="1"/>
    <x v="0"/>
    <x v="831"/>
    <x v="538"/>
    <x v="2"/>
    <x v="0"/>
    <x v="833"/>
    <x v="3"/>
    <x v="3"/>
    <x v="1"/>
    <x v="832"/>
  </r>
  <r>
    <x v="834"/>
    <x v="166"/>
    <x v="830"/>
    <x v="4"/>
    <x v="0"/>
    <x v="832"/>
    <x v="206"/>
    <x v="4"/>
    <x v="2"/>
    <x v="834"/>
    <x v="8"/>
    <x v="2"/>
    <x v="0"/>
    <x v="833"/>
  </r>
  <r>
    <x v="835"/>
    <x v="290"/>
    <x v="831"/>
    <x v="6"/>
    <x v="2"/>
    <x v="833"/>
    <x v="539"/>
    <x v="0"/>
    <x v="0"/>
    <x v="835"/>
    <x v="5"/>
    <x v="1"/>
    <x v="4"/>
    <x v="834"/>
  </r>
  <r>
    <x v="836"/>
    <x v="488"/>
    <x v="832"/>
    <x v="1"/>
    <x v="2"/>
    <x v="834"/>
    <x v="450"/>
    <x v="2"/>
    <x v="1"/>
    <x v="836"/>
    <x v="7"/>
    <x v="1"/>
    <x v="4"/>
    <x v="835"/>
  </r>
  <r>
    <x v="837"/>
    <x v="554"/>
    <x v="833"/>
    <x v="3"/>
    <x v="0"/>
    <x v="835"/>
    <x v="429"/>
    <x v="1"/>
    <x v="3"/>
    <x v="837"/>
    <x v="3"/>
    <x v="2"/>
    <x v="2"/>
    <x v="836"/>
  </r>
  <r>
    <x v="838"/>
    <x v="166"/>
    <x v="834"/>
    <x v="6"/>
    <x v="3"/>
    <x v="836"/>
    <x v="65"/>
    <x v="1"/>
    <x v="4"/>
    <x v="838"/>
    <x v="2"/>
    <x v="2"/>
    <x v="3"/>
    <x v="837"/>
  </r>
  <r>
    <x v="839"/>
    <x v="318"/>
    <x v="835"/>
    <x v="3"/>
    <x v="4"/>
    <x v="837"/>
    <x v="492"/>
    <x v="1"/>
    <x v="1"/>
    <x v="839"/>
    <x v="3"/>
    <x v="2"/>
    <x v="4"/>
    <x v="838"/>
  </r>
  <r>
    <x v="840"/>
    <x v="555"/>
    <x v="836"/>
    <x v="3"/>
    <x v="4"/>
    <x v="838"/>
    <x v="364"/>
    <x v="2"/>
    <x v="3"/>
    <x v="840"/>
    <x v="0"/>
    <x v="1"/>
    <x v="1"/>
    <x v="839"/>
  </r>
  <r>
    <x v="841"/>
    <x v="556"/>
    <x v="837"/>
    <x v="4"/>
    <x v="1"/>
    <x v="839"/>
    <x v="540"/>
    <x v="2"/>
    <x v="3"/>
    <x v="841"/>
    <x v="3"/>
    <x v="2"/>
    <x v="3"/>
    <x v="840"/>
  </r>
  <r>
    <x v="842"/>
    <x v="106"/>
    <x v="838"/>
    <x v="5"/>
    <x v="4"/>
    <x v="840"/>
    <x v="467"/>
    <x v="1"/>
    <x v="4"/>
    <x v="842"/>
    <x v="0"/>
    <x v="3"/>
    <x v="1"/>
    <x v="841"/>
  </r>
  <r>
    <x v="843"/>
    <x v="557"/>
    <x v="839"/>
    <x v="6"/>
    <x v="4"/>
    <x v="841"/>
    <x v="541"/>
    <x v="3"/>
    <x v="1"/>
    <x v="843"/>
    <x v="2"/>
    <x v="1"/>
    <x v="0"/>
    <x v="842"/>
  </r>
  <r>
    <x v="844"/>
    <x v="558"/>
    <x v="840"/>
    <x v="3"/>
    <x v="2"/>
    <x v="842"/>
    <x v="542"/>
    <x v="1"/>
    <x v="2"/>
    <x v="844"/>
    <x v="3"/>
    <x v="1"/>
    <x v="3"/>
    <x v="843"/>
  </r>
  <r>
    <x v="845"/>
    <x v="345"/>
    <x v="841"/>
    <x v="1"/>
    <x v="4"/>
    <x v="843"/>
    <x v="543"/>
    <x v="3"/>
    <x v="3"/>
    <x v="845"/>
    <x v="3"/>
    <x v="1"/>
    <x v="4"/>
    <x v="844"/>
  </r>
  <r>
    <x v="846"/>
    <x v="502"/>
    <x v="842"/>
    <x v="6"/>
    <x v="1"/>
    <x v="844"/>
    <x v="544"/>
    <x v="0"/>
    <x v="1"/>
    <x v="846"/>
    <x v="4"/>
    <x v="2"/>
    <x v="1"/>
    <x v="845"/>
  </r>
  <r>
    <x v="847"/>
    <x v="249"/>
    <x v="843"/>
    <x v="4"/>
    <x v="3"/>
    <x v="845"/>
    <x v="247"/>
    <x v="1"/>
    <x v="0"/>
    <x v="847"/>
    <x v="2"/>
    <x v="1"/>
    <x v="2"/>
    <x v="846"/>
  </r>
  <r>
    <x v="848"/>
    <x v="107"/>
    <x v="844"/>
    <x v="3"/>
    <x v="1"/>
    <x v="846"/>
    <x v="56"/>
    <x v="1"/>
    <x v="0"/>
    <x v="848"/>
    <x v="3"/>
    <x v="2"/>
    <x v="1"/>
    <x v="847"/>
  </r>
  <r>
    <x v="849"/>
    <x v="559"/>
    <x v="845"/>
    <x v="4"/>
    <x v="3"/>
    <x v="847"/>
    <x v="533"/>
    <x v="0"/>
    <x v="1"/>
    <x v="849"/>
    <x v="0"/>
    <x v="3"/>
    <x v="1"/>
    <x v="848"/>
  </r>
  <r>
    <x v="850"/>
    <x v="560"/>
    <x v="846"/>
    <x v="0"/>
    <x v="4"/>
    <x v="848"/>
    <x v="483"/>
    <x v="0"/>
    <x v="1"/>
    <x v="850"/>
    <x v="4"/>
    <x v="1"/>
    <x v="0"/>
    <x v="849"/>
  </r>
  <r>
    <x v="851"/>
    <x v="427"/>
    <x v="847"/>
    <x v="5"/>
    <x v="2"/>
    <x v="849"/>
    <x v="72"/>
    <x v="1"/>
    <x v="1"/>
    <x v="851"/>
    <x v="3"/>
    <x v="0"/>
    <x v="2"/>
    <x v="850"/>
  </r>
  <r>
    <x v="852"/>
    <x v="101"/>
    <x v="848"/>
    <x v="6"/>
    <x v="4"/>
    <x v="850"/>
    <x v="545"/>
    <x v="3"/>
    <x v="4"/>
    <x v="852"/>
    <x v="5"/>
    <x v="0"/>
    <x v="4"/>
    <x v="851"/>
  </r>
  <r>
    <x v="853"/>
    <x v="504"/>
    <x v="849"/>
    <x v="4"/>
    <x v="4"/>
    <x v="851"/>
    <x v="253"/>
    <x v="4"/>
    <x v="2"/>
    <x v="853"/>
    <x v="4"/>
    <x v="0"/>
    <x v="3"/>
    <x v="852"/>
  </r>
  <r>
    <x v="854"/>
    <x v="399"/>
    <x v="850"/>
    <x v="5"/>
    <x v="4"/>
    <x v="852"/>
    <x v="349"/>
    <x v="2"/>
    <x v="3"/>
    <x v="854"/>
    <x v="0"/>
    <x v="3"/>
    <x v="1"/>
    <x v="853"/>
  </r>
  <r>
    <x v="855"/>
    <x v="551"/>
    <x v="851"/>
    <x v="0"/>
    <x v="0"/>
    <x v="853"/>
    <x v="214"/>
    <x v="2"/>
    <x v="0"/>
    <x v="855"/>
    <x v="8"/>
    <x v="1"/>
    <x v="2"/>
    <x v="854"/>
  </r>
  <r>
    <x v="856"/>
    <x v="561"/>
    <x v="852"/>
    <x v="1"/>
    <x v="2"/>
    <x v="854"/>
    <x v="42"/>
    <x v="0"/>
    <x v="0"/>
    <x v="856"/>
    <x v="3"/>
    <x v="2"/>
    <x v="3"/>
    <x v="855"/>
  </r>
  <r>
    <x v="857"/>
    <x v="416"/>
    <x v="853"/>
    <x v="1"/>
    <x v="4"/>
    <x v="855"/>
    <x v="184"/>
    <x v="1"/>
    <x v="3"/>
    <x v="857"/>
    <x v="4"/>
    <x v="2"/>
    <x v="0"/>
    <x v="856"/>
  </r>
  <r>
    <x v="858"/>
    <x v="38"/>
    <x v="854"/>
    <x v="2"/>
    <x v="0"/>
    <x v="856"/>
    <x v="18"/>
    <x v="1"/>
    <x v="4"/>
    <x v="858"/>
    <x v="6"/>
    <x v="2"/>
    <x v="3"/>
    <x v="857"/>
  </r>
  <r>
    <x v="859"/>
    <x v="562"/>
    <x v="855"/>
    <x v="3"/>
    <x v="0"/>
    <x v="857"/>
    <x v="432"/>
    <x v="2"/>
    <x v="2"/>
    <x v="859"/>
    <x v="3"/>
    <x v="0"/>
    <x v="1"/>
    <x v="858"/>
  </r>
  <r>
    <x v="860"/>
    <x v="514"/>
    <x v="856"/>
    <x v="4"/>
    <x v="2"/>
    <x v="858"/>
    <x v="289"/>
    <x v="4"/>
    <x v="3"/>
    <x v="860"/>
    <x v="9"/>
    <x v="0"/>
    <x v="4"/>
    <x v="859"/>
  </r>
  <r>
    <x v="861"/>
    <x v="111"/>
    <x v="857"/>
    <x v="6"/>
    <x v="0"/>
    <x v="859"/>
    <x v="546"/>
    <x v="3"/>
    <x v="0"/>
    <x v="861"/>
    <x v="8"/>
    <x v="1"/>
    <x v="4"/>
    <x v="860"/>
  </r>
  <r>
    <x v="862"/>
    <x v="278"/>
    <x v="858"/>
    <x v="6"/>
    <x v="4"/>
    <x v="860"/>
    <x v="472"/>
    <x v="2"/>
    <x v="0"/>
    <x v="862"/>
    <x v="3"/>
    <x v="0"/>
    <x v="1"/>
    <x v="861"/>
  </r>
  <r>
    <x v="863"/>
    <x v="199"/>
    <x v="859"/>
    <x v="1"/>
    <x v="2"/>
    <x v="861"/>
    <x v="215"/>
    <x v="2"/>
    <x v="4"/>
    <x v="863"/>
    <x v="3"/>
    <x v="0"/>
    <x v="1"/>
    <x v="862"/>
  </r>
  <r>
    <x v="864"/>
    <x v="71"/>
    <x v="860"/>
    <x v="6"/>
    <x v="2"/>
    <x v="862"/>
    <x v="547"/>
    <x v="2"/>
    <x v="3"/>
    <x v="864"/>
    <x v="4"/>
    <x v="0"/>
    <x v="3"/>
    <x v="863"/>
  </r>
  <r>
    <x v="865"/>
    <x v="563"/>
    <x v="861"/>
    <x v="0"/>
    <x v="3"/>
    <x v="863"/>
    <x v="548"/>
    <x v="4"/>
    <x v="4"/>
    <x v="865"/>
    <x v="2"/>
    <x v="0"/>
    <x v="4"/>
    <x v="864"/>
  </r>
  <r>
    <x v="866"/>
    <x v="503"/>
    <x v="862"/>
    <x v="6"/>
    <x v="0"/>
    <x v="864"/>
    <x v="549"/>
    <x v="0"/>
    <x v="1"/>
    <x v="866"/>
    <x v="8"/>
    <x v="3"/>
    <x v="2"/>
    <x v="865"/>
  </r>
  <r>
    <x v="867"/>
    <x v="564"/>
    <x v="863"/>
    <x v="4"/>
    <x v="3"/>
    <x v="865"/>
    <x v="550"/>
    <x v="4"/>
    <x v="3"/>
    <x v="867"/>
    <x v="4"/>
    <x v="1"/>
    <x v="3"/>
    <x v="866"/>
  </r>
  <r>
    <x v="868"/>
    <x v="310"/>
    <x v="864"/>
    <x v="0"/>
    <x v="3"/>
    <x v="866"/>
    <x v="551"/>
    <x v="0"/>
    <x v="3"/>
    <x v="868"/>
    <x v="0"/>
    <x v="2"/>
    <x v="3"/>
    <x v="867"/>
  </r>
  <r>
    <x v="869"/>
    <x v="537"/>
    <x v="865"/>
    <x v="6"/>
    <x v="1"/>
    <x v="867"/>
    <x v="156"/>
    <x v="1"/>
    <x v="3"/>
    <x v="869"/>
    <x v="3"/>
    <x v="3"/>
    <x v="4"/>
    <x v="868"/>
  </r>
  <r>
    <x v="870"/>
    <x v="565"/>
    <x v="866"/>
    <x v="1"/>
    <x v="3"/>
    <x v="868"/>
    <x v="552"/>
    <x v="0"/>
    <x v="3"/>
    <x v="870"/>
    <x v="4"/>
    <x v="1"/>
    <x v="4"/>
    <x v="869"/>
  </r>
  <r>
    <x v="871"/>
    <x v="149"/>
    <x v="867"/>
    <x v="2"/>
    <x v="4"/>
    <x v="869"/>
    <x v="553"/>
    <x v="0"/>
    <x v="4"/>
    <x v="871"/>
    <x v="2"/>
    <x v="1"/>
    <x v="2"/>
    <x v="870"/>
  </r>
  <r>
    <x v="872"/>
    <x v="566"/>
    <x v="868"/>
    <x v="3"/>
    <x v="3"/>
    <x v="120"/>
    <x v="180"/>
    <x v="4"/>
    <x v="0"/>
    <x v="872"/>
    <x v="0"/>
    <x v="2"/>
    <x v="2"/>
    <x v="120"/>
  </r>
  <r>
    <x v="873"/>
    <x v="258"/>
    <x v="869"/>
    <x v="6"/>
    <x v="4"/>
    <x v="503"/>
    <x v="554"/>
    <x v="4"/>
    <x v="3"/>
    <x v="873"/>
    <x v="1"/>
    <x v="0"/>
    <x v="3"/>
    <x v="502"/>
  </r>
  <r>
    <x v="874"/>
    <x v="150"/>
    <x v="870"/>
    <x v="3"/>
    <x v="1"/>
    <x v="870"/>
    <x v="476"/>
    <x v="4"/>
    <x v="3"/>
    <x v="874"/>
    <x v="0"/>
    <x v="1"/>
    <x v="3"/>
    <x v="871"/>
  </r>
  <r>
    <x v="875"/>
    <x v="567"/>
    <x v="871"/>
    <x v="5"/>
    <x v="0"/>
    <x v="871"/>
    <x v="86"/>
    <x v="2"/>
    <x v="3"/>
    <x v="875"/>
    <x v="5"/>
    <x v="1"/>
    <x v="1"/>
    <x v="872"/>
  </r>
  <r>
    <x v="876"/>
    <x v="410"/>
    <x v="872"/>
    <x v="3"/>
    <x v="0"/>
    <x v="872"/>
    <x v="490"/>
    <x v="3"/>
    <x v="4"/>
    <x v="876"/>
    <x v="5"/>
    <x v="0"/>
    <x v="4"/>
    <x v="873"/>
  </r>
  <r>
    <x v="877"/>
    <x v="568"/>
    <x v="873"/>
    <x v="2"/>
    <x v="2"/>
    <x v="873"/>
    <x v="437"/>
    <x v="0"/>
    <x v="4"/>
    <x v="877"/>
    <x v="1"/>
    <x v="1"/>
    <x v="2"/>
    <x v="874"/>
  </r>
  <r>
    <x v="878"/>
    <x v="569"/>
    <x v="874"/>
    <x v="6"/>
    <x v="1"/>
    <x v="874"/>
    <x v="555"/>
    <x v="1"/>
    <x v="1"/>
    <x v="878"/>
    <x v="3"/>
    <x v="0"/>
    <x v="4"/>
    <x v="875"/>
  </r>
  <r>
    <x v="879"/>
    <x v="428"/>
    <x v="875"/>
    <x v="1"/>
    <x v="1"/>
    <x v="875"/>
    <x v="407"/>
    <x v="3"/>
    <x v="0"/>
    <x v="879"/>
    <x v="1"/>
    <x v="2"/>
    <x v="0"/>
    <x v="876"/>
  </r>
  <r>
    <x v="880"/>
    <x v="495"/>
    <x v="876"/>
    <x v="5"/>
    <x v="3"/>
    <x v="876"/>
    <x v="210"/>
    <x v="1"/>
    <x v="0"/>
    <x v="880"/>
    <x v="2"/>
    <x v="0"/>
    <x v="3"/>
    <x v="877"/>
  </r>
  <r>
    <x v="881"/>
    <x v="570"/>
    <x v="877"/>
    <x v="2"/>
    <x v="1"/>
    <x v="877"/>
    <x v="556"/>
    <x v="2"/>
    <x v="4"/>
    <x v="881"/>
    <x v="5"/>
    <x v="2"/>
    <x v="0"/>
    <x v="878"/>
  </r>
  <r>
    <x v="882"/>
    <x v="164"/>
    <x v="878"/>
    <x v="1"/>
    <x v="1"/>
    <x v="878"/>
    <x v="91"/>
    <x v="4"/>
    <x v="3"/>
    <x v="882"/>
    <x v="5"/>
    <x v="1"/>
    <x v="1"/>
    <x v="879"/>
  </r>
  <r>
    <x v="883"/>
    <x v="557"/>
    <x v="879"/>
    <x v="4"/>
    <x v="0"/>
    <x v="879"/>
    <x v="557"/>
    <x v="1"/>
    <x v="3"/>
    <x v="883"/>
    <x v="6"/>
    <x v="1"/>
    <x v="3"/>
    <x v="880"/>
  </r>
  <r>
    <x v="884"/>
    <x v="571"/>
    <x v="880"/>
    <x v="3"/>
    <x v="2"/>
    <x v="880"/>
    <x v="558"/>
    <x v="3"/>
    <x v="0"/>
    <x v="884"/>
    <x v="4"/>
    <x v="2"/>
    <x v="0"/>
    <x v="881"/>
  </r>
  <r>
    <x v="885"/>
    <x v="158"/>
    <x v="881"/>
    <x v="5"/>
    <x v="3"/>
    <x v="881"/>
    <x v="559"/>
    <x v="2"/>
    <x v="0"/>
    <x v="885"/>
    <x v="0"/>
    <x v="1"/>
    <x v="4"/>
    <x v="882"/>
  </r>
  <r>
    <x v="886"/>
    <x v="385"/>
    <x v="882"/>
    <x v="1"/>
    <x v="2"/>
    <x v="882"/>
    <x v="560"/>
    <x v="2"/>
    <x v="2"/>
    <x v="886"/>
    <x v="9"/>
    <x v="2"/>
    <x v="4"/>
    <x v="883"/>
  </r>
  <r>
    <x v="887"/>
    <x v="36"/>
    <x v="883"/>
    <x v="3"/>
    <x v="4"/>
    <x v="883"/>
    <x v="561"/>
    <x v="0"/>
    <x v="3"/>
    <x v="887"/>
    <x v="0"/>
    <x v="2"/>
    <x v="4"/>
    <x v="884"/>
  </r>
  <r>
    <x v="888"/>
    <x v="572"/>
    <x v="884"/>
    <x v="5"/>
    <x v="1"/>
    <x v="884"/>
    <x v="562"/>
    <x v="2"/>
    <x v="4"/>
    <x v="888"/>
    <x v="1"/>
    <x v="2"/>
    <x v="0"/>
    <x v="885"/>
  </r>
  <r>
    <x v="889"/>
    <x v="245"/>
    <x v="885"/>
    <x v="0"/>
    <x v="0"/>
    <x v="885"/>
    <x v="563"/>
    <x v="2"/>
    <x v="1"/>
    <x v="889"/>
    <x v="2"/>
    <x v="3"/>
    <x v="2"/>
    <x v="886"/>
  </r>
  <r>
    <x v="890"/>
    <x v="178"/>
    <x v="886"/>
    <x v="5"/>
    <x v="4"/>
    <x v="886"/>
    <x v="371"/>
    <x v="0"/>
    <x v="4"/>
    <x v="890"/>
    <x v="3"/>
    <x v="2"/>
    <x v="4"/>
    <x v="887"/>
  </r>
  <r>
    <x v="891"/>
    <x v="433"/>
    <x v="887"/>
    <x v="0"/>
    <x v="4"/>
    <x v="887"/>
    <x v="564"/>
    <x v="4"/>
    <x v="2"/>
    <x v="891"/>
    <x v="0"/>
    <x v="0"/>
    <x v="1"/>
    <x v="888"/>
  </r>
  <r>
    <x v="892"/>
    <x v="573"/>
    <x v="888"/>
    <x v="6"/>
    <x v="2"/>
    <x v="888"/>
    <x v="565"/>
    <x v="4"/>
    <x v="0"/>
    <x v="892"/>
    <x v="7"/>
    <x v="1"/>
    <x v="1"/>
    <x v="889"/>
  </r>
  <r>
    <x v="893"/>
    <x v="574"/>
    <x v="889"/>
    <x v="0"/>
    <x v="2"/>
    <x v="889"/>
    <x v="386"/>
    <x v="4"/>
    <x v="4"/>
    <x v="893"/>
    <x v="4"/>
    <x v="1"/>
    <x v="1"/>
    <x v="890"/>
  </r>
  <r>
    <x v="894"/>
    <x v="575"/>
    <x v="890"/>
    <x v="2"/>
    <x v="4"/>
    <x v="890"/>
    <x v="401"/>
    <x v="1"/>
    <x v="1"/>
    <x v="894"/>
    <x v="2"/>
    <x v="3"/>
    <x v="0"/>
    <x v="891"/>
  </r>
  <r>
    <x v="895"/>
    <x v="576"/>
    <x v="891"/>
    <x v="3"/>
    <x v="4"/>
    <x v="891"/>
    <x v="566"/>
    <x v="0"/>
    <x v="4"/>
    <x v="895"/>
    <x v="5"/>
    <x v="3"/>
    <x v="3"/>
    <x v="892"/>
  </r>
  <r>
    <x v="896"/>
    <x v="266"/>
    <x v="892"/>
    <x v="6"/>
    <x v="4"/>
    <x v="892"/>
    <x v="9"/>
    <x v="3"/>
    <x v="0"/>
    <x v="896"/>
    <x v="1"/>
    <x v="1"/>
    <x v="4"/>
    <x v="893"/>
  </r>
  <r>
    <x v="897"/>
    <x v="459"/>
    <x v="893"/>
    <x v="5"/>
    <x v="3"/>
    <x v="893"/>
    <x v="179"/>
    <x v="3"/>
    <x v="3"/>
    <x v="897"/>
    <x v="3"/>
    <x v="0"/>
    <x v="0"/>
    <x v="894"/>
  </r>
  <r>
    <x v="898"/>
    <x v="376"/>
    <x v="894"/>
    <x v="0"/>
    <x v="4"/>
    <x v="894"/>
    <x v="540"/>
    <x v="4"/>
    <x v="0"/>
    <x v="898"/>
    <x v="5"/>
    <x v="2"/>
    <x v="1"/>
    <x v="895"/>
  </r>
  <r>
    <x v="899"/>
    <x v="577"/>
    <x v="895"/>
    <x v="4"/>
    <x v="1"/>
    <x v="895"/>
    <x v="64"/>
    <x v="1"/>
    <x v="4"/>
    <x v="899"/>
    <x v="1"/>
    <x v="0"/>
    <x v="0"/>
    <x v="896"/>
  </r>
  <r>
    <x v="900"/>
    <x v="492"/>
    <x v="896"/>
    <x v="5"/>
    <x v="0"/>
    <x v="896"/>
    <x v="392"/>
    <x v="0"/>
    <x v="4"/>
    <x v="900"/>
    <x v="6"/>
    <x v="2"/>
    <x v="0"/>
    <x v="897"/>
  </r>
  <r>
    <x v="901"/>
    <x v="578"/>
    <x v="897"/>
    <x v="2"/>
    <x v="2"/>
    <x v="897"/>
    <x v="89"/>
    <x v="0"/>
    <x v="2"/>
    <x v="901"/>
    <x v="4"/>
    <x v="3"/>
    <x v="1"/>
    <x v="898"/>
  </r>
  <r>
    <x v="902"/>
    <x v="579"/>
    <x v="898"/>
    <x v="0"/>
    <x v="3"/>
    <x v="898"/>
    <x v="59"/>
    <x v="0"/>
    <x v="1"/>
    <x v="902"/>
    <x v="0"/>
    <x v="2"/>
    <x v="3"/>
    <x v="899"/>
  </r>
  <r>
    <x v="903"/>
    <x v="209"/>
    <x v="899"/>
    <x v="0"/>
    <x v="4"/>
    <x v="899"/>
    <x v="522"/>
    <x v="2"/>
    <x v="4"/>
    <x v="903"/>
    <x v="0"/>
    <x v="2"/>
    <x v="2"/>
    <x v="900"/>
  </r>
  <r>
    <x v="904"/>
    <x v="580"/>
    <x v="900"/>
    <x v="0"/>
    <x v="3"/>
    <x v="900"/>
    <x v="348"/>
    <x v="4"/>
    <x v="1"/>
    <x v="904"/>
    <x v="2"/>
    <x v="3"/>
    <x v="1"/>
    <x v="901"/>
  </r>
  <r>
    <x v="905"/>
    <x v="581"/>
    <x v="901"/>
    <x v="5"/>
    <x v="2"/>
    <x v="901"/>
    <x v="267"/>
    <x v="3"/>
    <x v="4"/>
    <x v="905"/>
    <x v="5"/>
    <x v="1"/>
    <x v="3"/>
    <x v="902"/>
  </r>
  <r>
    <x v="906"/>
    <x v="459"/>
    <x v="902"/>
    <x v="0"/>
    <x v="2"/>
    <x v="902"/>
    <x v="567"/>
    <x v="4"/>
    <x v="2"/>
    <x v="906"/>
    <x v="7"/>
    <x v="2"/>
    <x v="2"/>
    <x v="903"/>
  </r>
  <r>
    <x v="907"/>
    <x v="548"/>
    <x v="903"/>
    <x v="6"/>
    <x v="0"/>
    <x v="903"/>
    <x v="124"/>
    <x v="3"/>
    <x v="1"/>
    <x v="907"/>
    <x v="0"/>
    <x v="3"/>
    <x v="1"/>
    <x v="904"/>
  </r>
  <r>
    <x v="908"/>
    <x v="138"/>
    <x v="904"/>
    <x v="6"/>
    <x v="1"/>
    <x v="904"/>
    <x v="157"/>
    <x v="2"/>
    <x v="1"/>
    <x v="908"/>
    <x v="7"/>
    <x v="0"/>
    <x v="4"/>
    <x v="905"/>
  </r>
  <r>
    <x v="909"/>
    <x v="582"/>
    <x v="905"/>
    <x v="2"/>
    <x v="1"/>
    <x v="905"/>
    <x v="21"/>
    <x v="4"/>
    <x v="0"/>
    <x v="909"/>
    <x v="3"/>
    <x v="1"/>
    <x v="0"/>
    <x v="906"/>
  </r>
  <r>
    <x v="910"/>
    <x v="583"/>
    <x v="906"/>
    <x v="4"/>
    <x v="4"/>
    <x v="906"/>
    <x v="71"/>
    <x v="4"/>
    <x v="3"/>
    <x v="910"/>
    <x v="1"/>
    <x v="0"/>
    <x v="0"/>
    <x v="907"/>
  </r>
  <r>
    <x v="911"/>
    <x v="584"/>
    <x v="907"/>
    <x v="6"/>
    <x v="0"/>
    <x v="907"/>
    <x v="110"/>
    <x v="4"/>
    <x v="1"/>
    <x v="911"/>
    <x v="6"/>
    <x v="0"/>
    <x v="0"/>
    <x v="908"/>
  </r>
  <r>
    <x v="912"/>
    <x v="585"/>
    <x v="908"/>
    <x v="6"/>
    <x v="1"/>
    <x v="908"/>
    <x v="82"/>
    <x v="1"/>
    <x v="2"/>
    <x v="912"/>
    <x v="0"/>
    <x v="1"/>
    <x v="2"/>
    <x v="909"/>
  </r>
  <r>
    <x v="913"/>
    <x v="223"/>
    <x v="909"/>
    <x v="4"/>
    <x v="0"/>
    <x v="909"/>
    <x v="173"/>
    <x v="2"/>
    <x v="2"/>
    <x v="913"/>
    <x v="2"/>
    <x v="3"/>
    <x v="3"/>
    <x v="910"/>
  </r>
  <r>
    <x v="914"/>
    <x v="441"/>
    <x v="910"/>
    <x v="6"/>
    <x v="2"/>
    <x v="910"/>
    <x v="341"/>
    <x v="3"/>
    <x v="2"/>
    <x v="914"/>
    <x v="4"/>
    <x v="3"/>
    <x v="3"/>
    <x v="911"/>
  </r>
  <r>
    <x v="915"/>
    <x v="586"/>
    <x v="911"/>
    <x v="5"/>
    <x v="3"/>
    <x v="911"/>
    <x v="568"/>
    <x v="0"/>
    <x v="0"/>
    <x v="915"/>
    <x v="4"/>
    <x v="3"/>
    <x v="1"/>
    <x v="912"/>
  </r>
  <r>
    <x v="916"/>
    <x v="587"/>
    <x v="912"/>
    <x v="4"/>
    <x v="0"/>
    <x v="912"/>
    <x v="503"/>
    <x v="4"/>
    <x v="2"/>
    <x v="916"/>
    <x v="5"/>
    <x v="2"/>
    <x v="1"/>
    <x v="913"/>
  </r>
  <r>
    <x v="917"/>
    <x v="588"/>
    <x v="913"/>
    <x v="5"/>
    <x v="0"/>
    <x v="913"/>
    <x v="569"/>
    <x v="2"/>
    <x v="2"/>
    <x v="917"/>
    <x v="0"/>
    <x v="1"/>
    <x v="4"/>
    <x v="914"/>
  </r>
  <r>
    <x v="918"/>
    <x v="53"/>
    <x v="914"/>
    <x v="5"/>
    <x v="0"/>
    <x v="914"/>
    <x v="7"/>
    <x v="1"/>
    <x v="3"/>
    <x v="918"/>
    <x v="3"/>
    <x v="2"/>
    <x v="0"/>
    <x v="915"/>
  </r>
  <r>
    <x v="919"/>
    <x v="492"/>
    <x v="915"/>
    <x v="4"/>
    <x v="1"/>
    <x v="915"/>
    <x v="112"/>
    <x v="1"/>
    <x v="0"/>
    <x v="919"/>
    <x v="1"/>
    <x v="1"/>
    <x v="1"/>
    <x v="916"/>
  </r>
  <r>
    <x v="920"/>
    <x v="495"/>
    <x v="916"/>
    <x v="2"/>
    <x v="1"/>
    <x v="916"/>
    <x v="264"/>
    <x v="2"/>
    <x v="2"/>
    <x v="920"/>
    <x v="5"/>
    <x v="2"/>
    <x v="0"/>
    <x v="917"/>
  </r>
  <r>
    <x v="921"/>
    <x v="528"/>
    <x v="917"/>
    <x v="2"/>
    <x v="2"/>
    <x v="917"/>
    <x v="570"/>
    <x v="3"/>
    <x v="1"/>
    <x v="921"/>
    <x v="1"/>
    <x v="0"/>
    <x v="1"/>
    <x v="918"/>
  </r>
  <r>
    <x v="922"/>
    <x v="589"/>
    <x v="918"/>
    <x v="6"/>
    <x v="1"/>
    <x v="918"/>
    <x v="571"/>
    <x v="2"/>
    <x v="4"/>
    <x v="922"/>
    <x v="1"/>
    <x v="2"/>
    <x v="0"/>
    <x v="919"/>
  </r>
  <r>
    <x v="923"/>
    <x v="91"/>
    <x v="919"/>
    <x v="4"/>
    <x v="4"/>
    <x v="919"/>
    <x v="569"/>
    <x v="2"/>
    <x v="4"/>
    <x v="923"/>
    <x v="0"/>
    <x v="3"/>
    <x v="3"/>
    <x v="920"/>
  </r>
  <r>
    <x v="924"/>
    <x v="29"/>
    <x v="920"/>
    <x v="4"/>
    <x v="0"/>
    <x v="920"/>
    <x v="392"/>
    <x v="4"/>
    <x v="2"/>
    <x v="924"/>
    <x v="3"/>
    <x v="0"/>
    <x v="2"/>
    <x v="921"/>
  </r>
  <r>
    <x v="925"/>
    <x v="590"/>
    <x v="921"/>
    <x v="0"/>
    <x v="0"/>
    <x v="921"/>
    <x v="323"/>
    <x v="1"/>
    <x v="0"/>
    <x v="925"/>
    <x v="8"/>
    <x v="3"/>
    <x v="2"/>
    <x v="922"/>
  </r>
  <r>
    <x v="926"/>
    <x v="591"/>
    <x v="922"/>
    <x v="6"/>
    <x v="2"/>
    <x v="922"/>
    <x v="364"/>
    <x v="4"/>
    <x v="3"/>
    <x v="926"/>
    <x v="9"/>
    <x v="3"/>
    <x v="2"/>
    <x v="923"/>
  </r>
  <r>
    <x v="927"/>
    <x v="592"/>
    <x v="923"/>
    <x v="5"/>
    <x v="3"/>
    <x v="923"/>
    <x v="463"/>
    <x v="0"/>
    <x v="0"/>
    <x v="927"/>
    <x v="0"/>
    <x v="3"/>
    <x v="4"/>
    <x v="924"/>
  </r>
  <r>
    <x v="928"/>
    <x v="593"/>
    <x v="924"/>
    <x v="5"/>
    <x v="4"/>
    <x v="924"/>
    <x v="218"/>
    <x v="0"/>
    <x v="2"/>
    <x v="928"/>
    <x v="1"/>
    <x v="3"/>
    <x v="1"/>
    <x v="925"/>
  </r>
  <r>
    <x v="929"/>
    <x v="594"/>
    <x v="925"/>
    <x v="2"/>
    <x v="1"/>
    <x v="925"/>
    <x v="158"/>
    <x v="0"/>
    <x v="4"/>
    <x v="929"/>
    <x v="1"/>
    <x v="2"/>
    <x v="2"/>
    <x v="926"/>
  </r>
  <r>
    <x v="930"/>
    <x v="393"/>
    <x v="926"/>
    <x v="1"/>
    <x v="1"/>
    <x v="926"/>
    <x v="17"/>
    <x v="0"/>
    <x v="2"/>
    <x v="930"/>
    <x v="4"/>
    <x v="1"/>
    <x v="2"/>
    <x v="927"/>
  </r>
  <r>
    <x v="931"/>
    <x v="543"/>
    <x v="927"/>
    <x v="4"/>
    <x v="1"/>
    <x v="927"/>
    <x v="50"/>
    <x v="2"/>
    <x v="1"/>
    <x v="931"/>
    <x v="4"/>
    <x v="0"/>
    <x v="4"/>
    <x v="928"/>
  </r>
  <r>
    <x v="932"/>
    <x v="465"/>
    <x v="928"/>
    <x v="5"/>
    <x v="1"/>
    <x v="928"/>
    <x v="572"/>
    <x v="1"/>
    <x v="3"/>
    <x v="932"/>
    <x v="0"/>
    <x v="3"/>
    <x v="0"/>
    <x v="929"/>
  </r>
  <r>
    <x v="933"/>
    <x v="595"/>
    <x v="929"/>
    <x v="0"/>
    <x v="1"/>
    <x v="929"/>
    <x v="207"/>
    <x v="1"/>
    <x v="0"/>
    <x v="933"/>
    <x v="7"/>
    <x v="2"/>
    <x v="1"/>
    <x v="930"/>
  </r>
  <r>
    <x v="934"/>
    <x v="565"/>
    <x v="930"/>
    <x v="5"/>
    <x v="3"/>
    <x v="930"/>
    <x v="194"/>
    <x v="3"/>
    <x v="0"/>
    <x v="934"/>
    <x v="2"/>
    <x v="1"/>
    <x v="1"/>
    <x v="931"/>
  </r>
  <r>
    <x v="935"/>
    <x v="254"/>
    <x v="931"/>
    <x v="1"/>
    <x v="4"/>
    <x v="931"/>
    <x v="282"/>
    <x v="2"/>
    <x v="3"/>
    <x v="935"/>
    <x v="1"/>
    <x v="1"/>
    <x v="0"/>
    <x v="932"/>
  </r>
  <r>
    <x v="936"/>
    <x v="596"/>
    <x v="932"/>
    <x v="3"/>
    <x v="3"/>
    <x v="932"/>
    <x v="144"/>
    <x v="1"/>
    <x v="3"/>
    <x v="936"/>
    <x v="4"/>
    <x v="0"/>
    <x v="0"/>
    <x v="933"/>
  </r>
  <r>
    <x v="937"/>
    <x v="462"/>
    <x v="933"/>
    <x v="3"/>
    <x v="1"/>
    <x v="933"/>
    <x v="325"/>
    <x v="0"/>
    <x v="1"/>
    <x v="937"/>
    <x v="3"/>
    <x v="3"/>
    <x v="2"/>
    <x v="934"/>
  </r>
  <r>
    <x v="938"/>
    <x v="219"/>
    <x v="934"/>
    <x v="3"/>
    <x v="4"/>
    <x v="934"/>
    <x v="386"/>
    <x v="2"/>
    <x v="1"/>
    <x v="938"/>
    <x v="5"/>
    <x v="3"/>
    <x v="1"/>
    <x v="935"/>
  </r>
  <r>
    <x v="939"/>
    <x v="597"/>
    <x v="935"/>
    <x v="5"/>
    <x v="1"/>
    <x v="935"/>
    <x v="573"/>
    <x v="4"/>
    <x v="3"/>
    <x v="939"/>
    <x v="0"/>
    <x v="0"/>
    <x v="0"/>
    <x v="936"/>
  </r>
  <r>
    <x v="940"/>
    <x v="14"/>
    <x v="936"/>
    <x v="4"/>
    <x v="3"/>
    <x v="936"/>
    <x v="574"/>
    <x v="1"/>
    <x v="1"/>
    <x v="940"/>
    <x v="4"/>
    <x v="0"/>
    <x v="4"/>
    <x v="937"/>
  </r>
  <r>
    <x v="941"/>
    <x v="15"/>
    <x v="439"/>
    <x v="4"/>
    <x v="0"/>
    <x v="937"/>
    <x v="280"/>
    <x v="2"/>
    <x v="1"/>
    <x v="941"/>
    <x v="6"/>
    <x v="1"/>
    <x v="2"/>
    <x v="938"/>
  </r>
  <r>
    <x v="942"/>
    <x v="372"/>
    <x v="937"/>
    <x v="2"/>
    <x v="2"/>
    <x v="938"/>
    <x v="189"/>
    <x v="2"/>
    <x v="4"/>
    <x v="942"/>
    <x v="9"/>
    <x v="2"/>
    <x v="2"/>
    <x v="939"/>
  </r>
  <r>
    <x v="943"/>
    <x v="140"/>
    <x v="938"/>
    <x v="0"/>
    <x v="4"/>
    <x v="939"/>
    <x v="575"/>
    <x v="3"/>
    <x v="2"/>
    <x v="943"/>
    <x v="5"/>
    <x v="1"/>
    <x v="3"/>
    <x v="940"/>
  </r>
  <r>
    <x v="944"/>
    <x v="393"/>
    <x v="939"/>
    <x v="5"/>
    <x v="1"/>
    <x v="940"/>
    <x v="554"/>
    <x v="1"/>
    <x v="3"/>
    <x v="944"/>
    <x v="0"/>
    <x v="3"/>
    <x v="4"/>
    <x v="941"/>
  </r>
  <r>
    <x v="945"/>
    <x v="38"/>
    <x v="940"/>
    <x v="2"/>
    <x v="0"/>
    <x v="941"/>
    <x v="285"/>
    <x v="3"/>
    <x v="0"/>
    <x v="945"/>
    <x v="8"/>
    <x v="1"/>
    <x v="1"/>
    <x v="942"/>
  </r>
  <r>
    <x v="946"/>
    <x v="598"/>
    <x v="941"/>
    <x v="1"/>
    <x v="1"/>
    <x v="942"/>
    <x v="274"/>
    <x v="4"/>
    <x v="0"/>
    <x v="946"/>
    <x v="4"/>
    <x v="0"/>
    <x v="2"/>
    <x v="943"/>
  </r>
  <r>
    <x v="947"/>
    <x v="599"/>
    <x v="942"/>
    <x v="1"/>
    <x v="3"/>
    <x v="943"/>
    <x v="232"/>
    <x v="1"/>
    <x v="2"/>
    <x v="947"/>
    <x v="6"/>
    <x v="1"/>
    <x v="2"/>
    <x v="944"/>
  </r>
  <r>
    <x v="948"/>
    <x v="587"/>
    <x v="445"/>
    <x v="1"/>
    <x v="1"/>
    <x v="944"/>
    <x v="361"/>
    <x v="3"/>
    <x v="1"/>
    <x v="948"/>
    <x v="7"/>
    <x v="2"/>
    <x v="4"/>
    <x v="945"/>
  </r>
  <r>
    <x v="949"/>
    <x v="576"/>
    <x v="943"/>
    <x v="6"/>
    <x v="0"/>
    <x v="945"/>
    <x v="322"/>
    <x v="4"/>
    <x v="4"/>
    <x v="949"/>
    <x v="8"/>
    <x v="2"/>
    <x v="1"/>
    <x v="946"/>
  </r>
  <r>
    <x v="950"/>
    <x v="583"/>
    <x v="944"/>
    <x v="5"/>
    <x v="2"/>
    <x v="946"/>
    <x v="18"/>
    <x v="2"/>
    <x v="2"/>
    <x v="950"/>
    <x v="4"/>
    <x v="1"/>
    <x v="0"/>
    <x v="947"/>
  </r>
  <r>
    <x v="951"/>
    <x v="319"/>
    <x v="945"/>
    <x v="4"/>
    <x v="1"/>
    <x v="947"/>
    <x v="227"/>
    <x v="1"/>
    <x v="2"/>
    <x v="951"/>
    <x v="4"/>
    <x v="1"/>
    <x v="2"/>
    <x v="948"/>
  </r>
  <r>
    <x v="952"/>
    <x v="37"/>
    <x v="946"/>
    <x v="0"/>
    <x v="4"/>
    <x v="948"/>
    <x v="576"/>
    <x v="1"/>
    <x v="4"/>
    <x v="952"/>
    <x v="3"/>
    <x v="2"/>
    <x v="3"/>
    <x v="949"/>
  </r>
  <r>
    <x v="953"/>
    <x v="600"/>
    <x v="947"/>
    <x v="1"/>
    <x v="2"/>
    <x v="949"/>
    <x v="76"/>
    <x v="4"/>
    <x v="0"/>
    <x v="953"/>
    <x v="7"/>
    <x v="1"/>
    <x v="3"/>
    <x v="950"/>
  </r>
  <r>
    <x v="954"/>
    <x v="601"/>
    <x v="948"/>
    <x v="3"/>
    <x v="4"/>
    <x v="950"/>
    <x v="146"/>
    <x v="3"/>
    <x v="0"/>
    <x v="954"/>
    <x v="1"/>
    <x v="1"/>
    <x v="4"/>
    <x v="951"/>
  </r>
  <r>
    <x v="955"/>
    <x v="19"/>
    <x v="949"/>
    <x v="3"/>
    <x v="2"/>
    <x v="951"/>
    <x v="213"/>
    <x v="3"/>
    <x v="0"/>
    <x v="955"/>
    <x v="1"/>
    <x v="3"/>
    <x v="0"/>
    <x v="952"/>
  </r>
  <r>
    <x v="956"/>
    <x v="166"/>
    <x v="781"/>
    <x v="1"/>
    <x v="1"/>
    <x v="952"/>
    <x v="577"/>
    <x v="0"/>
    <x v="3"/>
    <x v="956"/>
    <x v="1"/>
    <x v="0"/>
    <x v="1"/>
    <x v="953"/>
  </r>
  <r>
    <x v="957"/>
    <x v="602"/>
    <x v="950"/>
    <x v="0"/>
    <x v="0"/>
    <x v="953"/>
    <x v="578"/>
    <x v="4"/>
    <x v="2"/>
    <x v="957"/>
    <x v="2"/>
    <x v="3"/>
    <x v="3"/>
    <x v="954"/>
  </r>
  <r>
    <x v="958"/>
    <x v="603"/>
    <x v="951"/>
    <x v="6"/>
    <x v="4"/>
    <x v="954"/>
    <x v="246"/>
    <x v="3"/>
    <x v="3"/>
    <x v="958"/>
    <x v="0"/>
    <x v="3"/>
    <x v="2"/>
    <x v="955"/>
  </r>
  <r>
    <x v="959"/>
    <x v="604"/>
    <x v="952"/>
    <x v="2"/>
    <x v="1"/>
    <x v="955"/>
    <x v="252"/>
    <x v="2"/>
    <x v="2"/>
    <x v="959"/>
    <x v="5"/>
    <x v="0"/>
    <x v="0"/>
    <x v="956"/>
  </r>
  <r>
    <x v="960"/>
    <x v="66"/>
    <x v="953"/>
    <x v="5"/>
    <x v="4"/>
    <x v="956"/>
    <x v="304"/>
    <x v="3"/>
    <x v="4"/>
    <x v="960"/>
    <x v="1"/>
    <x v="3"/>
    <x v="4"/>
    <x v="957"/>
  </r>
  <r>
    <x v="961"/>
    <x v="435"/>
    <x v="954"/>
    <x v="1"/>
    <x v="2"/>
    <x v="957"/>
    <x v="275"/>
    <x v="1"/>
    <x v="0"/>
    <x v="961"/>
    <x v="9"/>
    <x v="2"/>
    <x v="3"/>
    <x v="958"/>
  </r>
  <r>
    <x v="962"/>
    <x v="605"/>
    <x v="955"/>
    <x v="1"/>
    <x v="1"/>
    <x v="958"/>
    <x v="211"/>
    <x v="3"/>
    <x v="3"/>
    <x v="962"/>
    <x v="4"/>
    <x v="0"/>
    <x v="1"/>
    <x v="959"/>
  </r>
  <r>
    <x v="963"/>
    <x v="606"/>
    <x v="956"/>
    <x v="3"/>
    <x v="0"/>
    <x v="959"/>
    <x v="162"/>
    <x v="1"/>
    <x v="0"/>
    <x v="963"/>
    <x v="6"/>
    <x v="1"/>
    <x v="4"/>
    <x v="960"/>
  </r>
  <r>
    <x v="964"/>
    <x v="38"/>
    <x v="957"/>
    <x v="1"/>
    <x v="0"/>
    <x v="960"/>
    <x v="320"/>
    <x v="2"/>
    <x v="1"/>
    <x v="964"/>
    <x v="8"/>
    <x v="0"/>
    <x v="1"/>
    <x v="961"/>
  </r>
  <r>
    <x v="965"/>
    <x v="607"/>
    <x v="958"/>
    <x v="5"/>
    <x v="3"/>
    <x v="961"/>
    <x v="231"/>
    <x v="3"/>
    <x v="1"/>
    <x v="965"/>
    <x v="3"/>
    <x v="1"/>
    <x v="2"/>
    <x v="962"/>
  </r>
  <r>
    <x v="966"/>
    <x v="608"/>
    <x v="959"/>
    <x v="0"/>
    <x v="0"/>
    <x v="962"/>
    <x v="579"/>
    <x v="2"/>
    <x v="1"/>
    <x v="966"/>
    <x v="0"/>
    <x v="3"/>
    <x v="3"/>
    <x v="963"/>
  </r>
  <r>
    <x v="967"/>
    <x v="138"/>
    <x v="960"/>
    <x v="2"/>
    <x v="0"/>
    <x v="963"/>
    <x v="580"/>
    <x v="2"/>
    <x v="2"/>
    <x v="967"/>
    <x v="3"/>
    <x v="1"/>
    <x v="4"/>
    <x v="964"/>
  </r>
  <r>
    <x v="968"/>
    <x v="458"/>
    <x v="961"/>
    <x v="0"/>
    <x v="3"/>
    <x v="964"/>
    <x v="533"/>
    <x v="2"/>
    <x v="0"/>
    <x v="968"/>
    <x v="5"/>
    <x v="3"/>
    <x v="1"/>
    <x v="965"/>
  </r>
  <r>
    <x v="969"/>
    <x v="85"/>
    <x v="962"/>
    <x v="6"/>
    <x v="2"/>
    <x v="965"/>
    <x v="581"/>
    <x v="3"/>
    <x v="0"/>
    <x v="969"/>
    <x v="7"/>
    <x v="3"/>
    <x v="3"/>
    <x v="966"/>
  </r>
  <r>
    <x v="970"/>
    <x v="609"/>
    <x v="963"/>
    <x v="6"/>
    <x v="2"/>
    <x v="966"/>
    <x v="582"/>
    <x v="4"/>
    <x v="3"/>
    <x v="970"/>
    <x v="3"/>
    <x v="0"/>
    <x v="0"/>
    <x v="967"/>
  </r>
  <r>
    <x v="971"/>
    <x v="582"/>
    <x v="964"/>
    <x v="0"/>
    <x v="1"/>
    <x v="967"/>
    <x v="5"/>
    <x v="4"/>
    <x v="1"/>
    <x v="971"/>
    <x v="4"/>
    <x v="3"/>
    <x v="1"/>
    <x v="968"/>
  </r>
  <r>
    <x v="972"/>
    <x v="410"/>
    <x v="965"/>
    <x v="5"/>
    <x v="2"/>
    <x v="968"/>
    <x v="583"/>
    <x v="4"/>
    <x v="3"/>
    <x v="972"/>
    <x v="3"/>
    <x v="0"/>
    <x v="3"/>
    <x v="969"/>
  </r>
  <r>
    <x v="973"/>
    <x v="559"/>
    <x v="966"/>
    <x v="6"/>
    <x v="0"/>
    <x v="969"/>
    <x v="567"/>
    <x v="1"/>
    <x v="4"/>
    <x v="973"/>
    <x v="8"/>
    <x v="3"/>
    <x v="1"/>
    <x v="970"/>
  </r>
  <r>
    <x v="974"/>
    <x v="610"/>
    <x v="967"/>
    <x v="6"/>
    <x v="0"/>
    <x v="970"/>
    <x v="263"/>
    <x v="3"/>
    <x v="1"/>
    <x v="974"/>
    <x v="3"/>
    <x v="2"/>
    <x v="2"/>
    <x v="971"/>
  </r>
  <r>
    <x v="975"/>
    <x v="419"/>
    <x v="968"/>
    <x v="6"/>
    <x v="2"/>
    <x v="971"/>
    <x v="233"/>
    <x v="3"/>
    <x v="2"/>
    <x v="975"/>
    <x v="5"/>
    <x v="0"/>
    <x v="2"/>
    <x v="972"/>
  </r>
  <r>
    <x v="976"/>
    <x v="172"/>
    <x v="969"/>
    <x v="2"/>
    <x v="4"/>
    <x v="972"/>
    <x v="531"/>
    <x v="2"/>
    <x v="2"/>
    <x v="976"/>
    <x v="5"/>
    <x v="3"/>
    <x v="1"/>
    <x v="973"/>
  </r>
  <r>
    <x v="977"/>
    <x v="423"/>
    <x v="970"/>
    <x v="3"/>
    <x v="3"/>
    <x v="973"/>
    <x v="584"/>
    <x v="4"/>
    <x v="4"/>
    <x v="977"/>
    <x v="2"/>
    <x v="0"/>
    <x v="4"/>
    <x v="974"/>
  </r>
  <r>
    <x v="978"/>
    <x v="611"/>
    <x v="971"/>
    <x v="4"/>
    <x v="3"/>
    <x v="974"/>
    <x v="477"/>
    <x v="4"/>
    <x v="3"/>
    <x v="978"/>
    <x v="3"/>
    <x v="2"/>
    <x v="4"/>
    <x v="975"/>
  </r>
  <r>
    <x v="979"/>
    <x v="546"/>
    <x v="972"/>
    <x v="0"/>
    <x v="4"/>
    <x v="975"/>
    <x v="238"/>
    <x v="4"/>
    <x v="3"/>
    <x v="979"/>
    <x v="0"/>
    <x v="0"/>
    <x v="3"/>
    <x v="976"/>
  </r>
  <r>
    <x v="980"/>
    <x v="612"/>
    <x v="973"/>
    <x v="3"/>
    <x v="4"/>
    <x v="976"/>
    <x v="585"/>
    <x v="4"/>
    <x v="3"/>
    <x v="980"/>
    <x v="0"/>
    <x v="3"/>
    <x v="0"/>
    <x v="977"/>
  </r>
  <r>
    <x v="981"/>
    <x v="371"/>
    <x v="974"/>
    <x v="1"/>
    <x v="3"/>
    <x v="977"/>
    <x v="586"/>
    <x v="0"/>
    <x v="4"/>
    <x v="981"/>
    <x v="2"/>
    <x v="0"/>
    <x v="2"/>
    <x v="978"/>
  </r>
  <r>
    <x v="982"/>
    <x v="605"/>
    <x v="975"/>
    <x v="0"/>
    <x v="2"/>
    <x v="978"/>
    <x v="479"/>
    <x v="3"/>
    <x v="0"/>
    <x v="982"/>
    <x v="7"/>
    <x v="0"/>
    <x v="1"/>
    <x v="979"/>
  </r>
  <r>
    <x v="983"/>
    <x v="167"/>
    <x v="976"/>
    <x v="0"/>
    <x v="3"/>
    <x v="979"/>
    <x v="587"/>
    <x v="3"/>
    <x v="0"/>
    <x v="983"/>
    <x v="3"/>
    <x v="0"/>
    <x v="2"/>
    <x v="980"/>
  </r>
  <r>
    <x v="984"/>
    <x v="252"/>
    <x v="977"/>
    <x v="6"/>
    <x v="2"/>
    <x v="980"/>
    <x v="7"/>
    <x v="2"/>
    <x v="0"/>
    <x v="984"/>
    <x v="9"/>
    <x v="1"/>
    <x v="3"/>
    <x v="981"/>
  </r>
  <r>
    <x v="985"/>
    <x v="351"/>
    <x v="978"/>
    <x v="6"/>
    <x v="2"/>
    <x v="981"/>
    <x v="198"/>
    <x v="3"/>
    <x v="3"/>
    <x v="985"/>
    <x v="5"/>
    <x v="0"/>
    <x v="4"/>
    <x v="982"/>
  </r>
  <r>
    <x v="986"/>
    <x v="609"/>
    <x v="979"/>
    <x v="5"/>
    <x v="3"/>
    <x v="982"/>
    <x v="91"/>
    <x v="2"/>
    <x v="4"/>
    <x v="986"/>
    <x v="0"/>
    <x v="1"/>
    <x v="2"/>
    <x v="983"/>
  </r>
  <r>
    <x v="987"/>
    <x v="85"/>
    <x v="980"/>
    <x v="1"/>
    <x v="0"/>
    <x v="983"/>
    <x v="342"/>
    <x v="3"/>
    <x v="4"/>
    <x v="987"/>
    <x v="2"/>
    <x v="1"/>
    <x v="0"/>
    <x v="984"/>
  </r>
  <r>
    <x v="988"/>
    <x v="496"/>
    <x v="981"/>
    <x v="6"/>
    <x v="1"/>
    <x v="984"/>
    <x v="277"/>
    <x v="3"/>
    <x v="1"/>
    <x v="988"/>
    <x v="3"/>
    <x v="3"/>
    <x v="0"/>
    <x v="985"/>
  </r>
  <r>
    <x v="989"/>
    <x v="613"/>
    <x v="982"/>
    <x v="5"/>
    <x v="3"/>
    <x v="985"/>
    <x v="588"/>
    <x v="2"/>
    <x v="4"/>
    <x v="989"/>
    <x v="4"/>
    <x v="0"/>
    <x v="0"/>
    <x v="986"/>
  </r>
  <r>
    <x v="990"/>
    <x v="614"/>
    <x v="983"/>
    <x v="1"/>
    <x v="1"/>
    <x v="986"/>
    <x v="589"/>
    <x v="0"/>
    <x v="4"/>
    <x v="990"/>
    <x v="7"/>
    <x v="0"/>
    <x v="4"/>
    <x v="987"/>
  </r>
  <r>
    <x v="991"/>
    <x v="593"/>
    <x v="984"/>
    <x v="6"/>
    <x v="0"/>
    <x v="66"/>
    <x v="128"/>
    <x v="0"/>
    <x v="1"/>
    <x v="991"/>
    <x v="8"/>
    <x v="1"/>
    <x v="4"/>
    <x v="66"/>
  </r>
  <r>
    <x v="992"/>
    <x v="615"/>
    <x v="985"/>
    <x v="4"/>
    <x v="4"/>
    <x v="987"/>
    <x v="133"/>
    <x v="3"/>
    <x v="4"/>
    <x v="992"/>
    <x v="4"/>
    <x v="3"/>
    <x v="1"/>
    <x v="988"/>
  </r>
  <r>
    <x v="993"/>
    <x v="616"/>
    <x v="986"/>
    <x v="0"/>
    <x v="4"/>
    <x v="988"/>
    <x v="590"/>
    <x v="3"/>
    <x v="3"/>
    <x v="993"/>
    <x v="3"/>
    <x v="3"/>
    <x v="0"/>
    <x v="989"/>
  </r>
  <r>
    <x v="994"/>
    <x v="326"/>
    <x v="987"/>
    <x v="2"/>
    <x v="3"/>
    <x v="989"/>
    <x v="76"/>
    <x v="0"/>
    <x v="3"/>
    <x v="994"/>
    <x v="6"/>
    <x v="3"/>
    <x v="4"/>
    <x v="990"/>
  </r>
  <r>
    <x v="995"/>
    <x v="134"/>
    <x v="988"/>
    <x v="0"/>
    <x v="1"/>
    <x v="990"/>
    <x v="391"/>
    <x v="4"/>
    <x v="4"/>
    <x v="995"/>
    <x v="3"/>
    <x v="0"/>
    <x v="3"/>
    <x v="991"/>
  </r>
  <r>
    <x v="996"/>
    <x v="578"/>
    <x v="989"/>
    <x v="0"/>
    <x v="3"/>
    <x v="991"/>
    <x v="267"/>
    <x v="0"/>
    <x v="3"/>
    <x v="996"/>
    <x v="0"/>
    <x v="0"/>
    <x v="3"/>
    <x v="992"/>
  </r>
  <r>
    <x v="997"/>
    <x v="110"/>
    <x v="990"/>
    <x v="5"/>
    <x v="4"/>
    <x v="992"/>
    <x v="385"/>
    <x v="4"/>
    <x v="3"/>
    <x v="997"/>
    <x v="5"/>
    <x v="0"/>
    <x v="3"/>
    <x v="993"/>
  </r>
  <r>
    <x v="998"/>
    <x v="213"/>
    <x v="991"/>
    <x v="1"/>
    <x v="1"/>
    <x v="358"/>
    <x v="204"/>
    <x v="0"/>
    <x v="1"/>
    <x v="998"/>
    <x v="5"/>
    <x v="0"/>
    <x v="4"/>
    <x v="357"/>
  </r>
  <r>
    <x v="999"/>
    <x v="478"/>
    <x v="992"/>
    <x v="4"/>
    <x v="2"/>
    <x v="993"/>
    <x v="331"/>
    <x v="4"/>
    <x v="4"/>
    <x v="999"/>
    <x v="5"/>
    <x v="1"/>
    <x v="4"/>
    <x v="994"/>
  </r>
  <r>
    <x v="1000"/>
    <x v="617"/>
    <x v="993"/>
    <x v="4"/>
    <x v="0"/>
    <x v="994"/>
    <x v="591"/>
    <x v="1"/>
    <x v="3"/>
    <x v="1000"/>
    <x v="6"/>
    <x v="0"/>
    <x v="2"/>
    <x v="995"/>
  </r>
  <r>
    <x v="1001"/>
    <x v="618"/>
    <x v="994"/>
    <x v="4"/>
    <x v="1"/>
    <x v="995"/>
    <x v="108"/>
    <x v="3"/>
    <x v="0"/>
    <x v="1001"/>
    <x v="5"/>
    <x v="2"/>
    <x v="1"/>
    <x v="996"/>
  </r>
  <r>
    <x v="1002"/>
    <x v="619"/>
    <x v="995"/>
    <x v="2"/>
    <x v="3"/>
    <x v="996"/>
    <x v="95"/>
    <x v="4"/>
    <x v="4"/>
    <x v="1002"/>
    <x v="3"/>
    <x v="3"/>
    <x v="1"/>
    <x v="997"/>
  </r>
  <r>
    <x v="1003"/>
    <x v="348"/>
    <x v="996"/>
    <x v="4"/>
    <x v="0"/>
    <x v="997"/>
    <x v="591"/>
    <x v="4"/>
    <x v="0"/>
    <x v="1003"/>
    <x v="0"/>
    <x v="0"/>
    <x v="4"/>
    <x v="998"/>
  </r>
  <r>
    <x v="1004"/>
    <x v="559"/>
    <x v="997"/>
    <x v="3"/>
    <x v="3"/>
    <x v="998"/>
    <x v="26"/>
    <x v="1"/>
    <x v="4"/>
    <x v="1004"/>
    <x v="2"/>
    <x v="0"/>
    <x v="1"/>
    <x v="999"/>
  </r>
  <r>
    <x v="1005"/>
    <x v="521"/>
    <x v="998"/>
    <x v="4"/>
    <x v="4"/>
    <x v="999"/>
    <x v="519"/>
    <x v="2"/>
    <x v="2"/>
    <x v="1005"/>
    <x v="5"/>
    <x v="2"/>
    <x v="4"/>
    <x v="1000"/>
  </r>
  <r>
    <x v="1006"/>
    <x v="582"/>
    <x v="999"/>
    <x v="2"/>
    <x v="0"/>
    <x v="1000"/>
    <x v="458"/>
    <x v="4"/>
    <x v="3"/>
    <x v="1006"/>
    <x v="0"/>
    <x v="0"/>
    <x v="3"/>
    <x v="1001"/>
  </r>
  <r>
    <x v="1007"/>
    <x v="591"/>
    <x v="485"/>
    <x v="0"/>
    <x v="1"/>
    <x v="1001"/>
    <x v="89"/>
    <x v="4"/>
    <x v="4"/>
    <x v="1007"/>
    <x v="4"/>
    <x v="3"/>
    <x v="3"/>
    <x v="1002"/>
  </r>
  <r>
    <x v="1008"/>
    <x v="620"/>
    <x v="1000"/>
    <x v="0"/>
    <x v="4"/>
    <x v="1002"/>
    <x v="506"/>
    <x v="4"/>
    <x v="3"/>
    <x v="1008"/>
    <x v="2"/>
    <x v="1"/>
    <x v="0"/>
    <x v="1003"/>
  </r>
  <r>
    <x v="1009"/>
    <x v="621"/>
    <x v="1001"/>
    <x v="2"/>
    <x v="1"/>
    <x v="1003"/>
    <x v="386"/>
    <x v="2"/>
    <x v="3"/>
    <x v="1009"/>
    <x v="7"/>
    <x v="1"/>
    <x v="2"/>
    <x v="1004"/>
  </r>
  <r>
    <x v="1010"/>
    <x v="622"/>
    <x v="1002"/>
    <x v="0"/>
    <x v="4"/>
    <x v="1004"/>
    <x v="91"/>
    <x v="2"/>
    <x v="1"/>
    <x v="1010"/>
    <x v="5"/>
    <x v="0"/>
    <x v="2"/>
    <x v="1005"/>
  </r>
  <r>
    <x v="1011"/>
    <x v="623"/>
    <x v="1003"/>
    <x v="1"/>
    <x v="1"/>
    <x v="1005"/>
    <x v="236"/>
    <x v="1"/>
    <x v="0"/>
    <x v="1011"/>
    <x v="1"/>
    <x v="2"/>
    <x v="4"/>
    <x v="1006"/>
  </r>
  <r>
    <x v="1012"/>
    <x v="623"/>
    <x v="1004"/>
    <x v="4"/>
    <x v="3"/>
    <x v="1006"/>
    <x v="266"/>
    <x v="1"/>
    <x v="2"/>
    <x v="1012"/>
    <x v="5"/>
    <x v="2"/>
    <x v="3"/>
    <x v="1007"/>
  </r>
  <r>
    <x v="1013"/>
    <x v="624"/>
    <x v="1005"/>
    <x v="5"/>
    <x v="3"/>
    <x v="1007"/>
    <x v="53"/>
    <x v="4"/>
    <x v="1"/>
    <x v="1013"/>
    <x v="6"/>
    <x v="1"/>
    <x v="3"/>
    <x v="1008"/>
  </r>
  <r>
    <x v="1014"/>
    <x v="389"/>
    <x v="1006"/>
    <x v="2"/>
    <x v="0"/>
    <x v="1008"/>
    <x v="352"/>
    <x v="0"/>
    <x v="2"/>
    <x v="1014"/>
    <x v="5"/>
    <x v="1"/>
    <x v="2"/>
    <x v="1009"/>
  </r>
  <r>
    <x v="1015"/>
    <x v="547"/>
    <x v="1007"/>
    <x v="4"/>
    <x v="1"/>
    <x v="1009"/>
    <x v="428"/>
    <x v="1"/>
    <x v="0"/>
    <x v="1015"/>
    <x v="7"/>
    <x v="0"/>
    <x v="0"/>
    <x v="1010"/>
  </r>
  <r>
    <x v="1016"/>
    <x v="10"/>
    <x v="1008"/>
    <x v="2"/>
    <x v="0"/>
    <x v="1010"/>
    <x v="592"/>
    <x v="0"/>
    <x v="3"/>
    <x v="1016"/>
    <x v="0"/>
    <x v="3"/>
    <x v="2"/>
    <x v="1011"/>
  </r>
  <r>
    <x v="1017"/>
    <x v="625"/>
    <x v="1009"/>
    <x v="3"/>
    <x v="1"/>
    <x v="1011"/>
    <x v="593"/>
    <x v="3"/>
    <x v="3"/>
    <x v="1017"/>
    <x v="5"/>
    <x v="1"/>
    <x v="1"/>
    <x v="1012"/>
  </r>
  <r>
    <x v="1018"/>
    <x v="307"/>
    <x v="1010"/>
    <x v="5"/>
    <x v="4"/>
    <x v="1012"/>
    <x v="594"/>
    <x v="4"/>
    <x v="3"/>
    <x v="1018"/>
    <x v="1"/>
    <x v="2"/>
    <x v="0"/>
    <x v="1013"/>
  </r>
  <r>
    <x v="1019"/>
    <x v="616"/>
    <x v="1011"/>
    <x v="6"/>
    <x v="2"/>
    <x v="1013"/>
    <x v="284"/>
    <x v="4"/>
    <x v="2"/>
    <x v="1019"/>
    <x v="7"/>
    <x v="0"/>
    <x v="1"/>
    <x v="1014"/>
  </r>
  <r>
    <x v="1020"/>
    <x v="181"/>
    <x v="1012"/>
    <x v="2"/>
    <x v="1"/>
    <x v="1014"/>
    <x v="304"/>
    <x v="1"/>
    <x v="3"/>
    <x v="1020"/>
    <x v="1"/>
    <x v="0"/>
    <x v="0"/>
    <x v="1015"/>
  </r>
  <r>
    <x v="1021"/>
    <x v="5"/>
    <x v="1013"/>
    <x v="1"/>
    <x v="4"/>
    <x v="1015"/>
    <x v="551"/>
    <x v="2"/>
    <x v="1"/>
    <x v="1021"/>
    <x v="4"/>
    <x v="0"/>
    <x v="2"/>
    <x v="1016"/>
  </r>
  <r>
    <x v="1022"/>
    <x v="522"/>
    <x v="1014"/>
    <x v="2"/>
    <x v="4"/>
    <x v="1016"/>
    <x v="467"/>
    <x v="2"/>
    <x v="0"/>
    <x v="1022"/>
    <x v="2"/>
    <x v="0"/>
    <x v="1"/>
    <x v="1017"/>
  </r>
  <r>
    <x v="1023"/>
    <x v="296"/>
    <x v="1015"/>
    <x v="5"/>
    <x v="0"/>
    <x v="1017"/>
    <x v="83"/>
    <x v="4"/>
    <x v="0"/>
    <x v="1023"/>
    <x v="8"/>
    <x v="2"/>
    <x v="1"/>
    <x v="1018"/>
  </r>
  <r>
    <x v="1024"/>
    <x v="412"/>
    <x v="1016"/>
    <x v="3"/>
    <x v="4"/>
    <x v="1018"/>
    <x v="359"/>
    <x v="4"/>
    <x v="4"/>
    <x v="1024"/>
    <x v="0"/>
    <x v="1"/>
    <x v="3"/>
    <x v="1019"/>
  </r>
  <r>
    <x v="1025"/>
    <x v="271"/>
    <x v="1017"/>
    <x v="3"/>
    <x v="2"/>
    <x v="1019"/>
    <x v="138"/>
    <x v="3"/>
    <x v="3"/>
    <x v="1025"/>
    <x v="7"/>
    <x v="1"/>
    <x v="0"/>
    <x v="1020"/>
  </r>
  <r>
    <x v="1026"/>
    <x v="31"/>
    <x v="1018"/>
    <x v="0"/>
    <x v="2"/>
    <x v="1020"/>
    <x v="111"/>
    <x v="1"/>
    <x v="3"/>
    <x v="1026"/>
    <x v="9"/>
    <x v="3"/>
    <x v="3"/>
    <x v="1021"/>
  </r>
  <r>
    <x v="1027"/>
    <x v="626"/>
    <x v="1019"/>
    <x v="5"/>
    <x v="3"/>
    <x v="1021"/>
    <x v="498"/>
    <x v="4"/>
    <x v="2"/>
    <x v="1027"/>
    <x v="5"/>
    <x v="2"/>
    <x v="4"/>
    <x v="1022"/>
  </r>
  <r>
    <x v="1028"/>
    <x v="96"/>
    <x v="1020"/>
    <x v="6"/>
    <x v="3"/>
    <x v="1022"/>
    <x v="200"/>
    <x v="4"/>
    <x v="1"/>
    <x v="1028"/>
    <x v="5"/>
    <x v="2"/>
    <x v="0"/>
    <x v="1023"/>
  </r>
  <r>
    <x v="1029"/>
    <x v="627"/>
    <x v="1021"/>
    <x v="6"/>
    <x v="2"/>
    <x v="1023"/>
    <x v="578"/>
    <x v="2"/>
    <x v="0"/>
    <x v="1029"/>
    <x v="4"/>
    <x v="1"/>
    <x v="2"/>
    <x v="1024"/>
  </r>
  <r>
    <x v="1030"/>
    <x v="276"/>
    <x v="1022"/>
    <x v="1"/>
    <x v="3"/>
    <x v="1024"/>
    <x v="595"/>
    <x v="2"/>
    <x v="3"/>
    <x v="1030"/>
    <x v="5"/>
    <x v="3"/>
    <x v="2"/>
    <x v="1025"/>
  </r>
  <r>
    <x v="1031"/>
    <x v="285"/>
    <x v="1023"/>
    <x v="1"/>
    <x v="0"/>
    <x v="1025"/>
    <x v="596"/>
    <x v="0"/>
    <x v="4"/>
    <x v="1031"/>
    <x v="2"/>
    <x v="0"/>
    <x v="2"/>
    <x v="1026"/>
  </r>
  <r>
    <x v="1032"/>
    <x v="197"/>
    <x v="1024"/>
    <x v="3"/>
    <x v="2"/>
    <x v="1026"/>
    <x v="243"/>
    <x v="1"/>
    <x v="3"/>
    <x v="1032"/>
    <x v="5"/>
    <x v="3"/>
    <x v="1"/>
    <x v="1027"/>
  </r>
  <r>
    <x v="1033"/>
    <x v="628"/>
    <x v="1025"/>
    <x v="0"/>
    <x v="2"/>
    <x v="1027"/>
    <x v="597"/>
    <x v="3"/>
    <x v="3"/>
    <x v="1033"/>
    <x v="7"/>
    <x v="1"/>
    <x v="1"/>
    <x v="1028"/>
  </r>
  <r>
    <x v="1034"/>
    <x v="452"/>
    <x v="1026"/>
    <x v="4"/>
    <x v="3"/>
    <x v="1028"/>
    <x v="598"/>
    <x v="4"/>
    <x v="1"/>
    <x v="1034"/>
    <x v="2"/>
    <x v="1"/>
    <x v="3"/>
    <x v="1029"/>
  </r>
  <r>
    <x v="1035"/>
    <x v="629"/>
    <x v="1027"/>
    <x v="5"/>
    <x v="3"/>
    <x v="1029"/>
    <x v="599"/>
    <x v="4"/>
    <x v="1"/>
    <x v="1035"/>
    <x v="3"/>
    <x v="2"/>
    <x v="1"/>
    <x v="1030"/>
  </r>
  <r>
    <x v="1036"/>
    <x v="583"/>
    <x v="1028"/>
    <x v="1"/>
    <x v="4"/>
    <x v="1030"/>
    <x v="64"/>
    <x v="3"/>
    <x v="0"/>
    <x v="1036"/>
    <x v="2"/>
    <x v="0"/>
    <x v="3"/>
    <x v="1031"/>
  </r>
  <r>
    <x v="1037"/>
    <x v="141"/>
    <x v="1029"/>
    <x v="4"/>
    <x v="2"/>
    <x v="1031"/>
    <x v="465"/>
    <x v="4"/>
    <x v="4"/>
    <x v="1037"/>
    <x v="9"/>
    <x v="0"/>
    <x v="4"/>
    <x v="1032"/>
  </r>
  <r>
    <x v="1038"/>
    <x v="175"/>
    <x v="1030"/>
    <x v="2"/>
    <x v="4"/>
    <x v="1032"/>
    <x v="600"/>
    <x v="0"/>
    <x v="2"/>
    <x v="1038"/>
    <x v="3"/>
    <x v="2"/>
    <x v="3"/>
    <x v="1033"/>
  </r>
  <r>
    <x v="1039"/>
    <x v="164"/>
    <x v="1031"/>
    <x v="6"/>
    <x v="1"/>
    <x v="1033"/>
    <x v="601"/>
    <x v="2"/>
    <x v="1"/>
    <x v="1039"/>
    <x v="7"/>
    <x v="3"/>
    <x v="0"/>
    <x v="1034"/>
  </r>
  <r>
    <x v="1040"/>
    <x v="375"/>
    <x v="1032"/>
    <x v="2"/>
    <x v="2"/>
    <x v="1034"/>
    <x v="407"/>
    <x v="0"/>
    <x v="3"/>
    <x v="1040"/>
    <x v="3"/>
    <x v="1"/>
    <x v="4"/>
    <x v="1035"/>
  </r>
  <r>
    <x v="1041"/>
    <x v="91"/>
    <x v="1033"/>
    <x v="0"/>
    <x v="3"/>
    <x v="1035"/>
    <x v="198"/>
    <x v="3"/>
    <x v="0"/>
    <x v="1041"/>
    <x v="6"/>
    <x v="3"/>
    <x v="4"/>
    <x v="1036"/>
  </r>
  <r>
    <x v="1042"/>
    <x v="65"/>
    <x v="1034"/>
    <x v="2"/>
    <x v="1"/>
    <x v="1036"/>
    <x v="271"/>
    <x v="0"/>
    <x v="0"/>
    <x v="1042"/>
    <x v="7"/>
    <x v="3"/>
    <x v="3"/>
    <x v="1037"/>
  </r>
  <r>
    <x v="1043"/>
    <x v="630"/>
    <x v="1035"/>
    <x v="2"/>
    <x v="1"/>
    <x v="1037"/>
    <x v="581"/>
    <x v="3"/>
    <x v="0"/>
    <x v="1043"/>
    <x v="3"/>
    <x v="2"/>
    <x v="0"/>
    <x v="1038"/>
  </r>
  <r>
    <x v="1044"/>
    <x v="450"/>
    <x v="1036"/>
    <x v="4"/>
    <x v="2"/>
    <x v="1038"/>
    <x v="602"/>
    <x v="2"/>
    <x v="3"/>
    <x v="1044"/>
    <x v="4"/>
    <x v="1"/>
    <x v="1"/>
    <x v="1039"/>
  </r>
  <r>
    <x v="1045"/>
    <x v="28"/>
    <x v="1037"/>
    <x v="5"/>
    <x v="0"/>
    <x v="1039"/>
    <x v="603"/>
    <x v="3"/>
    <x v="2"/>
    <x v="1045"/>
    <x v="0"/>
    <x v="2"/>
    <x v="2"/>
    <x v="1040"/>
  </r>
  <r>
    <x v="1046"/>
    <x v="550"/>
    <x v="1038"/>
    <x v="2"/>
    <x v="4"/>
    <x v="1040"/>
    <x v="604"/>
    <x v="1"/>
    <x v="0"/>
    <x v="1046"/>
    <x v="4"/>
    <x v="3"/>
    <x v="0"/>
    <x v="1041"/>
  </r>
  <r>
    <x v="1047"/>
    <x v="467"/>
    <x v="1039"/>
    <x v="3"/>
    <x v="3"/>
    <x v="1041"/>
    <x v="605"/>
    <x v="3"/>
    <x v="0"/>
    <x v="1047"/>
    <x v="5"/>
    <x v="3"/>
    <x v="1"/>
    <x v="1042"/>
  </r>
  <r>
    <x v="1048"/>
    <x v="82"/>
    <x v="1040"/>
    <x v="0"/>
    <x v="3"/>
    <x v="1042"/>
    <x v="606"/>
    <x v="0"/>
    <x v="0"/>
    <x v="1048"/>
    <x v="6"/>
    <x v="2"/>
    <x v="4"/>
    <x v="1043"/>
  </r>
  <r>
    <x v="1049"/>
    <x v="408"/>
    <x v="1041"/>
    <x v="6"/>
    <x v="0"/>
    <x v="1043"/>
    <x v="20"/>
    <x v="2"/>
    <x v="0"/>
    <x v="1049"/>
    <x v="5"/>
    <x v="2"/>
    <x v="0"/>
    <x v="1044"/>
  </r>
  <r>
    <x v="1050"/>
    <x v="38"/>
    <x v="1042"/>
    <x v="5"/>
    <x v="0"/>
    <x v="1044"/>
    <x v="395"/>
    <x v="1"/>
    <x v="2"/>
    <x v="1050"/>
    <x v="6"/>
    <x v="2"/>
    <x v="0"/>
    <x v="1045"/>
  </r>
  <r>
    <x v="1051"/>
    <x v="376"/>
    <x v="1043"/>
    <x v="0"/>
    <x v="0"/>
    <x v="1045"/>
    <x v="607"/>
    <x v="3"/>
    <x v="0"/>
    <x v="1051"/>
    <x v="3"/>
    <x v="1"/>
    <x v="3"/>
    <x v="1046"/>
  </r>
  <r>
    <x v="1052"/>
    <x v="631"/>
    <x v="1044"/>
    <x v="2"/>
    <x v="2"/>
    <x v="1046"/>
    <x v="608"/>
    <x v="1"/>
    <x v="0"/>
    <x v="1052"/>
    <x v="9"/>
    <x v="3"/>
    <x v="4"/>
    <x v="1047"/>
  </r>
  <r>
    <x v="1053"/>
    <x v="632"/>
    <x v="1045"/>
    <x v="1"/>
    <x v="1"/>
    <x v="1047"/>
    <x v="574"/>
    <x v="1"/>
    <x v="4"/>
    <x v="1053"/>
    <x v="7"/>
    <x v="0"/>
    <x v="0"/>
    <x v="1048"/>
  </r>
  <r>
    <x v="1054"/>
    <x v="633"/>
    <x v="1046"/>
    <x v="4"/>
    <x v="2"/>
    <x v="1048"/>
    <x v="80"/>
    <x v="0"/>
    <x v="3"/>
    <x v="1054"/>
    <x v="1"/>
    <x v="3"/>
    <x v="0"/>
    <x v="1049"/>
  </r>
  <r>
    <x v="1055"/>
    <x v="5"/>
    <x v="1047"/>
    <x v="0"/>
    <x v="3"/>
    <x v="1049"/>
    <x v="407"/>
    <x v="0"/>
    <x v="3"/>
    <x v="1055"/>
    <x v="6"/>
    <x v="3"/>
    <x v="2"/>
    <x v="1050"/>
  </r>
  <r>
    <x v="1056"/>
    <x v="280"/>
    <x v="1048"/>
    <x v="1"/>
    <x v="1"/>
    <x v="1050"/>
    <x v="156"/>
    <x v="1"/>
    <x v="4"/>
    <x v="1056"/>
    <x v="5"/>
    <x v="0"/>
    <x v="1"/>
    <x v="1051"/>
  </r>
  <r>
    <x v="1057"/>
    <x v="634"/>
    <x v="1049"/>
    <x v="5"/>
    <x v="4"/>
    <x v="1051"/>
    <x v="153"/>
    <x v="0"/>
    <x v="0"/>
    <x v="1057"/>
    <x v="1"/>
    <x v="3"/>
    <x v="3"/>
    <x v="1052"/>
  </r>
  <r>
    <x v="1058"/>
    <x v="102"/>
    <x v="1050"/>
    <x v="6"/>
    <x v="1"/>
    <x v="1052"/>
    <x v="230"/>
    <x v="2"/>
    <x v="2"/>
    <x v="1058"/>
    <x v="7"/>
    <x v="1"/>
    <x v="0"/>
    <x v="1053"/>
  </r>
  <r>
    <x v="1059"/>
    <x v="491"/>
    <x v="1051"/>
    <x v="6"/>
    <x v="2"/>
    <x v="1053"/>
    <x v="609"/>
    <x v="2"/>
    <x v="2"/>
    <x v="1059"/>
    <x v="1"/>
    <x v="3"/>
    <x v="0"/>
    <x v="1054"/>
  </r>
  <r>
    <x v="1060"/>
    <x v="635"/>
    <x v="1052"/>
    <x v="2"/>
    <x v="1"/>
    <x v="1054"/>
    <x v="292"/>
    <x v="4"/>
    <x v="0"/>
    <x v="1060"/>
    <x v="0"/>
    <x v="3"/>
    <x v="1"/>
    <x v="1055"/>
  </r>
  <r>
    <x v="1061"/>
    <x v="636"/>
    <x v="1053"/>
    <x v="5"/>
    <x v="0"/>
    <x v="1055"/>
    <x v="32"/>
    <x v="4"/>
    <x v="0"/>
    <x v="1061"/>
    <x v="2"/>
    <x v="1"/>
    <x v="4"/>
    <x v="1056"/>
  </r>
  <r>
    <x v="1062"/>
    <x v="421"/>
    <x v="1054"/>
    <x v="3"/>
    <x v="0"/>
    <x v="1056"/>
    <x v="266"/>
    <x v="3"/>
    <x v="1"/>
    <x v="1062"/>
    <x v="3"/>
    <x v="2"/>
    <x v="3"/>
    <x v="1057"/>
  </r>
  <r>
    <x v="1063"/>
    <x v="83"/>
    <x v="1055"/>
    <x v="6"/>
    <x v="1"/>
    <x v="1057"/>
    <x v="154"/>
    <x v="2"/>
    <x v="0"/>
    <x v="1063"/>
    <x v="3"/>
    <x v="1"/>
    <x v="1"/>
    <x v="1058"/>
  </r>
  <r>
    <x v="1064"/>
    <x v="637"/>
    <x v="1056"/>
    <x v="5"/>
    <x v="3"/>
    <x v="1058"/>
    <x v="236"/>
    <x v="4"/>
    <x v="2"/>
    <x v="1064"/>
    <x v="6"/>
    <x v="1"/>
    <x v="1"/>
    <x v="1059"/>
  </r>
  <r>
    <x v="1065"/>
    <x v="638"/>
    <x v="1057"/>
    <x v="4"/>
    <x v="0"/>
    <x v="1059"/>
    <x v="336"/>
    <x v="0"/>
    <x v="3"/>
    <x v="1065"/>
    <x v="0"/>
    <x v="0"/>
    <x v="1"/>
    <x v="1060"/>
  </r>
  <r>
    <x v="1066"/>
    <x v="639"/>
    <x v="1058"/>
    <x v="6"/>
    <x v="2"/>
    <x v="1060"/>
    <x v="468"/>
    <x v="0"/>
    <x v="1"/>
    <x v="1066"/>
    <x v="3"/>
    <x v="0"/>
    <x v="0"/>
    <x v="1061"/>
  </r>
  <r>
    <x v="1067"/>
    <x v="640"/>
    <x v="1059"/>
    <x v="1"/>
    <x v="1"/>
    <x v="1061"/>
    <x v="65"/>
    <x v="1"/>
    <x v="2"/>
    <x v="1067"/>
    <x v="7"/>
    <x v="2"/>
    <x v="0"/>
    <x v="1062"/>
  </r>
  <r>
    <x v="1068"/>
    <x v="240"/>
    <x v="1060"/>
    <x v="5"/>
    <x v="2"/>
    <x v="871"/>
    <x v="610"/>
    <x v="0"/>
    <x v="0"/>
    <x v="1068"/>
    <x v="7"/>
    <x v="0"/>
    <x v="1"/>
    <x v="1063"/>
  </r>
  <r>
    <x v="1069"/>
    <x v="641"/>
    <x v="1061"/>
    <x v="0"/>
    <x v="2"/>
    <x v="1062"/>
    <x v="207"/>
    <x v="3"/>
    <x v="2"/>
    <x v="1069"/>
    <x v="1"/>
    <x v="2"/>
    <x v="3"/>
    <x v="1064"/>
  </r>
  <r>
    <x v="1070"/>
    <x v="605"/>
    <x v="1062"/>
    <x v="6"/>
    <x v="3"/>
    <x v="1063"/>
    <x v="75"/>
    <x v="0"/>
    <x v="4"/>
    <x v="1070"/>
    <x v="5"/>
    <x v="2"/>
    <x v="2"/>
    <x v="1065"/>
  </r>
  <r>
    <x v="1071"/>
    <x v="53"/>
    <x v="1063"/>
    <x v="1"/>
    <x v="1"/>
    <x v="1064"/>
    <x v="307"/>
    <x v="4"/>
    <x v="0"/>
    <x v="1071"/>
    <x v="7"/>
    <x v="2"/>
    <x v="4"/>
    <x v="1066"/>
  </r>
  <r>
    <x v="1072"/>
    <x v="297"/>
    <x v="1064"/>
    <x v="0"/>
    <x v="2"/>
    <x v="1065"/>
    <x v="225"/>
    <x v="3"/>
    <x v="1"/>
    <x v="1072"/>
    <x v="4"/>
    <x v="0"/>
    <x v="1"/>
    <x v="1067"/>
  </r>
  <r>
    <x v="1073"/>
    <x v="642"/>
    <x v="1065"/>
    <x v="2"/>
    <x v="3"/>
    <x v="1066"/>
    <x v="221"/>
    <x v="0"/>
    <x v="2"/>
    <x v="1073"/>
    <x v="4"/>
    <x v="2"/>
    <x v="3"/>
    <x v="1068"/>
  </r>
  <r>
    <x v="1074"/>
    <x v="451"/>
    <x v="1066"/>
    <x v="1"/>
    <x v="2"/>
    <x v="1067"/>
    <x v="611"/>
    <x v="1"/>
    <x v="2"/>
    <x v="1074"/>
    <x v="4"/>
    <x v="2"/>
    <x v="4"/>
    <x v="1069"/>
  </r>
  <r>
    <x v="1075"/>
    <x v="169"/>
    <x v="1067"/>
    <x v="0"/>
    <x v="1"/>
    <x v="1068"/>
    <x v="181"/>
    <x v="0"/>
    <x v="3"/>
    <x v="1075"/>
    <x v="0"/>
    <x v="3"/>
    <x v="0"/>
    <x v="1070"/>
  </r>
  <r>
    <x v="1076"/>
    <x v="20"/>
    <x v="1068"/>
    <x v="5"/>
    <x v="3"/>
    <x v="1069"/>
    <x v="595"/>
    <x v="4"/>
    <x v="0"/>
    <x v="1076"/>
    <x v="5"/>
    <x v="2"/>
    <x v="1"/>
    <x v="1071"/>
  </r>
  <r>
    <x v="1077"/>
    <x v="456"/>
    <x v="1069"/>
    <x v="4"/>
    <x v="4"/>
    <x v="1070"/>
    <x v="107"/>
    <x v="2"/>
    <x v="1"/>
    <x v="1077"/>
    <x v="2"/>
    <x v="0"/>
    <x v="1"/>
    <x v="1072"/>
  </r>
  <r>
    <x v="1078"/>
    <x v="168"/>
    <x v="1070"/>
    <x v="6"/>
    <x v="2"/>
    <x v="1071"/>
    <x v="27"/>
    <x v="1"/>
    <x v="2"/>
    <x v="1078"/>
    <x v="4"/>
    <x v="3"/>
    <x v="2"/>
    <x v="1073"/>
  </r>
  <r>
    <x v="1079"/>
    <x v="643"/>
    <x v="1071"/>
    <x v="1"/>
    <x v="0"/>
    <x v="1072"/>
    <x v="570"/>
    <x v="3"/>
    <x v="3"/>
    <x v="1079"/>
    <x v="2"/>
    <x v="2"/>
    <x v="2"/>
    <x v="1074"/>
  </r>
  <r>
    <x v="1080"/>
    <x v="325"/>
    <x v="1072"/>
    <x v="5"/>
    <x v="0"/>
    <x v="1073"/>
    <x v="612"/>
    <x v="3"/>
    <x v="3"/>
    <x v="1080"/>
    <x v="0"/>
    <x v="2"/>
    <x v="1"/>
    <x v="1075"/>
  </r>
  <r>
    <x v="1081"/>
    <x v="453"/>
    <x v="1073"/>
    <x v="0"/>
    <x v="3"/>
    <x v="1074"/>
    <x v="294"/>
    <x v="2"/>
    <x v="4"/>
    <x v="1081"/>
    <x v="3"/>
    <x v="1"/>
    <x v="4"/>
    <x v="1076"/>
  </r>
  <r>
    <x v="1082"/>
    <x v="426"/>
    <x v="1074"/>
    <x v="3"/>
    <x v="4"/>
    <x v="1075"/>
    <x v="601"/>
    <x v="0"/>
    <x v="4"/>
    <x v="1082"/>
    <x v="3"/>
    <x v="0"/>
    <x v="2"/>
    <x v="1077"/>
  </r>
  <r>
    <x v="1083"/>
    <x v="644"/>
    <x v="1075"/>
    <x v="3"/>
    <x v="2"/>
    <x v="1076"/>
    <x v="30"/>
    <x v="2"/>
    <x v="3"/>
    <x v="1083"/>
    <x v="1"/>
    <x v="0"/>
    <x v="2"/>
    <x v="1078"/>
  </r>
  <r>
    <x v="1084"/>
    <x v="124"/>
    <x v="1076"/>
    <x v="1"/>
    <x v="2"/>
    <x v="1077"/>
    <x v="35"/>
    <x v="3"/>
    <x v="4"/>
    <x v="1084"/>
    <x v="9"/>
    <x v="3"/>
    <x v="0"/>
    <x v="1079"/>
  </r>
  <r>
    <x v="1085"/>
    <x v="54"/>
    <x v="1077"/>
    <x v="4"/>
    <x v="1"/>
    <x v="1078"/>
    <x v="135"/>
    <x v="0"/>
    <x v="0"/>
    <x v="1085"/>
    <x v="0"/>
    <x v="3"/>
    <x v="0"/>
    <x v="1080"/>
  </r>
  <r>
    <x v="1086"/>
    <x v="475"/>
    <x v="1078"/>
    <x v="2"/>
    <x v="1"/>
    <x v="1079"/>
    <x v="613"/>
    <x v="1"/>
    <x v="4"/>
    <x v="1086"/>
    <x v="3"/>
    <x v="3"/>
    <x v="0"/>
    <x v="1081"/>
  </r>
  <r>
    <x v="1087"/>
    <x v="411"/>
    <x v="1079"/>
    <x v="5"/>
    <x v="3"/>
    <x v="1080"/>
    <x v="614"/>
    <x v="1"/>
    <x v="0"/>
    <x v="1087"/>
    <x v="2"/>
    <x v="0"/>
    <x v="0"/>
    <x v="1082"/>
  </r>
  <r>
    <x v="1088"/>
    <x v="115"/>
    <x v="1080"/>
    <x v="6"/>
    <x v="4"/>
    <x v="1081"/>
    <x v="615"/>
    <x v="3"/>
    <x v="0"/>
    <x v="1088"/>
    <x v="5"/>
    <x v="3"/>
    <x v="0"/>
    <x v="1083"/>
  </r>
  <r>
    <x v="1089"/>
    <x v="175"/>
    <x v="1081"/>
    <x v="2"/>
    <x v="1"/>
    <x v="1082"/>
    <x v="63"/>
    <x v="3"/>
    <x v="0"/>
    <x v="1089"/>
    <x v="7"/>
    <x v="2"/>
    <x v="0"/>
    <x v="1084"/>
  </r>
  <r>
    <x v="1090"/>
    <x v="641"/>
    <x v="1082"/>
    <x v="0"/>
    <x v="1"/>
    <x v="1083"/>
    <x v="31"/>
    <x v="3"/>
    <x v="2"/>
    <x v="1090"/>
    <x v="5"/>
    <x v="2"/>
    <x v="0"/>
    <x v="1085"/>
  </r>
  <r>
    <x v="1091"/>
    <x v="192"/>
    <x v="1083"/>
    <x v="5"/>
    <x v="4"/>
    <x v="1084"/>
    <x v="329"/>
    <x v="0"/>
    <x v="4"/>
    <x v="1091"/>
    <x v="4"/>
    <x v="2"/>
    <x v="2"/>
    <x v="1086"/>
  </r>
  <r>
    <x v="1092"/>
    <x v="531"/>
    <x v="1084"/>
    <x v="5"/>
    <x v="0"/>
    <x v="1085"/>
    <x v="29"/>
    <x v="0"/>
    <x v="3"/>
    <x v="1092"/>
    <x v="5"/>
    <x v="3"/>
    <x v="2"/>
    <x v="1087"/>
  </r>
  <r>
    <x v="1093"/>
    <x v="308"/>
    <x v="1085"/>
    <x v="1"/>
    <x v="3"/>
    <x v="1086"/>
    <x v="616"/>
    <x v="3"/>
    <x v="2"/>
    <x v="1093"/>
    <x v="6"/>
    <x v="1"/>
    <x v="0"/>
    <x v="1088"/>
  </r>
  <r>
    <x v="1094"/>
    <x v="342"/>
    <x v="1086"/>
    <x v="4"/>
    <x v="3"/>
    <x v="1087"/>
    <x v="617"/>
    <x v="2"/>
    <x v="0"/>
    <x v="1094"/>
    <x v="5"/>
    <x v="0"/>
    <x v="0"/>
    <x v="1089"/>
  </r>
  <r>
    <x v="1095"/>
    <x v="234"/>
    <x v="1087"/>
    <x v="1"/>
    <x v="1"/>
    <x v="1088"/>
    <x v="618"/>
    <x v="1"/>
    <x v="3"/>
    <x v="1095"/>
    <x v="7"/>
    <x v="0"/>
    <x v="2"/>
    <x v="1090"/>
  </r>
  <r>
    <x v="1096"/>
    <x v="120"/>
    <x v="1088"/>
    <x v="2"/>
    <x v="1"/>
    <x v="1089"/>
    <x v="619"/>
    <x v="0"/>
    <x v="2"/>
    <x v="1096"/>
    <x v="7"/>
    <x v="2"/>
    <x v="3"/>
    <x v="1091"/>
  </r>
  <r>
    <x v="1097"/>
    <x v="645"/>
    <x v="1089"/>
    <x v="0"/>
    <x v="0"/>
    <x v="1090"/>
    <x v="620"/>
    <x v="3"/>
    <x v="0"/>
    <x v="1097"/>
    <x v="0"/>
    <x v="3"/>
    <x v="4"/>
    <x v="1092"/>
  </r>
  <r>
    <x v="1098"/>
    <x v="646"/>
    <x v="1090"/>
    <x v="0"/>
    <x v="3"/>
    <x v="1091"/>
    <x v="621"/>
    <x v="2"/>
    <x v="3"/>
    <x v="1098"/>
    <x v="0"/>
    <x v="2"/>
    <x v="2"/>
    <x v="1093"/>
  </r>
  <r>
    <x v="1099"/>
    <x v="556"/>
    <x v="1091"/>
    <x v="5"/>
    <x v="1"/>
    <x v="1092"/>
    <x v="314"/>
    <x v="4"/>
    <x v="1"/>
    <x v="1099"/>
    <x v="1"/>
    <x v="1"/>
    <x v="2"/>
    <x v="1094"/>
  </r>
  <r>
    <x v="1100"/>
    <x v="538"/>
    <x v="1092"/>
    <x v="5"/>
    <x v="0"/>
    <x v="1093"/>
    <x v="622"/>
    <x v="0"/>
    <x v="1"/>
    <x v="1100"/>
    <x v="5"/>
    <x v="3"/>
    <x v="0"/>
    <x v="1095"/>
  </r>
  <r>
    <x v="1101"/>
    <x v="647"/>
    <x v="1093"/>
    <x v="0"/>
    <x v="4"/>
    <x v="1094"/>
    <x v="8"/>
    <x v="4"/>
    <x v="4"/>
    <x v="1101"/>
    <x v="4"/>
    <x v="0"/>
    <x v="2"/>
    <x v="1096"/>
  </r>
  <r>
    <x v="1102"/>
    <x v="561"/>
    <x v="14"/>
    <x v="3"/>
    <x v="3"/>
    <x v="1095"/>
    <x v="494"/>
    <x v="0"/>
    <x v="0"/>
    <x v="1102"/>
    <x v="2"/>
    <x v="2"/>
    <x v="0"/>
    <x v="1097"/>
  </r>
  <r>
    <x v="1103"/>
    <x v="648"/>
    <x v="1094"/>
    <x v="5"/>
    <x v="3"/>
    <x v="1096"/>
    <x v="67"/>
    <x v="1"/>
    <x v="3"/>
    <x v="1103"/>
    <x v="3"/>
    <x v="2"/>
    <x v="4"/>
    <x v="1098"/>
  </r>
  <r>
    <x v="1104"/>
    <x v="568"/>
    <x v="1095"/>
    <x v="2"/>
    <x v="3"/>
    <x v="1097"/>
    <x v="623"/>
    <x v="1"/>
    <x v="0"/>
    <x v="1104"/>
    <x v="2"/>
    <x v="2"/>
    <x v="0"/>
    <x v="1099"/>
  </r>
  <r>
    <x v="1105"/>
    <x v="649"/>
    <x v="1096"/>
    <x v="2"/>
    <x v="4"/>
    <x v="1098"/>
    <x v="234"/>
    <x v="3"/>
    <x v="1"/>
    <x v="1105"/>
    <x v="1"/>
    <x v="1"/>
    <x v="4"/>
    <x v="1100"/>
  </r>
  <r>
    <x v="1106"/>
    <x v="255"/>
    <x v="1097"/>
    <x v="3"/>
    <x v="2"/>
    <x v="1099"/>
    <x v="13"/>
    <x v="4"/>
    <x v="1"/>
    <x v="1106"/>
    <x v="5"/>
    <x v="0"/>
    <x v="3"/>
    <x v="1101"/>
  </r>
  <r>
    <x v="1107"/>
    <x v="233"/>
    <x v="1098"/>
    <x v="2"/>
    <x v="1"/>
    <x v="1100"/>
    <x v="429"/>
    <x v="1"/>
    <x v="1"/>
    <x v="1107"/>
    <x v="4"/>
    <x v="0"/>
    <x v="4"/>
    <x v="1102"/>
  </r>
  <r>
    <x v="1108"/>
    <x v="650"/>
    <x v="1099"/>
    <x v="5"/>
    <x v="2"/>
    <x v="1101"/>
    <x v="624"/>
    <x v="1"/>
    <x v="1"/>
    <x v="1108"/>
    <x v="3"/>
    <x v="3"/>
    <x v="0"/>
    <x v="1103"/>
  </r>
  <r>
    <x v="1109"/>
    <x v="651"/>
    <x v="1100"/>
    <x v="4"/>
    <x v="3"/>
    <x v="1102"/>
    <x v="358"/>
    <x v="3"/>
    <x v="2"/>
    <x v="1109"/>
    <x v="0"/>
    <x v="0"/>
    <x v="0"/>
    <x v="1104"/>
  </r>
  <r>
    <x v="1110"/>
    <x v="402"/>
    <x v="1101"/>
    <x v="3"/>
    <x v="4"/>
    <x v="1103"/>
    <x v="33"/>
    <x v="2"/>
    <x v="0"/>
    <x v="1110"/>
    <x v="1"/>
    <x v="0"/>
    <x v="2"/>
    <x v="1105"/>
  </r>
  <r>
    <x v="1111"/>
    <x v="306"/>
    <x v="1102"/>
    <x v="0"/>
    <x v="3"/>
    <x v="1104"/>
    <x v="625"/>
    <x v="1"/>
    <x v="1"/>
    <x v="1111"/>
    <x v="6"/>
    <x v="1"/>
    <x v="0"/>
    <x v="1106"/>
  </r>
  <r>
    <x v="1112"/>
    <x v="652"/>
    <x v="1103"/>
    <x v="6"/>
    <x v="2"/>
    <x v="1105"/>
    <x v="116"/>
    <x v="1"/>
    <x v="3"/>
    <x v="1112"/>
    <x v="9"/>
    <x v="3"/>
    <x v="0"/>
    <x v="1107"/>
  </r>
  <r>
    <x v="1113"/>
    <x v="111"/>
    <x v="1104"/>
    <x v="6"/>
    <x v="3"/>
    <x v="1106"/>
    <x v="572"/>
    <x v="4"/>
    <x v="3"/>
    <x v="1113"/>
    <x v="2"/>
    <x v="2"/>
    <x v="4"/>
    <x v="1108"/>
  </r>
  <r>
    <x v="1114"/>
    <x v="653"/>
    <x v="1105"/>
    <x v="2"/>
    <x v="4"/>
    <x v="1107"/>
    <x v="181"/>
    <x v="3"/>
    <x v="1"/>
    <x v="1114"/>
    <x v="1"/>
    <x v="2"/>
    <x v="4"/>
    <x v="1109"/>
  </r>
  <r>
    <x v="1115"/>
    <x v="126"/>
    <x v="1106"/>
    <x v="5"/>
    <x v="1"/>
    <x v="1108"/>
    <x v="203"/>
    <x v="1"/>
    <x v="2"/>
    <x v="1115"/>
    <x v="1"/>
    <x v="2"/>
    <x v="4"/>
    <x v="1110"/>
  </r>
  <r>
    <x v="1116"/>
    <x v="612"/>
    <x v="1107"/>
    <x v="4"/>
    <x v="1"/>
    <x v="1109"/>
    <x v="203"/>
    <x v="2"/>
    <x v="3"/>
    <x v="1116"/>
    <x v="0"/>
    <x v="3"/>
    <x v="3"/>
    <x v="1111"/>
  </r>
  <r>
    <x v="1117"/>
    <x v="199"/>
    <x v="1108"/>
    <x v="3"/>
    <x v="4"/>
    <x v="1110"/>
    <x v="324"/>
    <x v="3"/>
    <x v="0"/>
    <x v="1117"/>
    <x v="2"/>
    <x v="3"/>
    <x v="4"/>
    <x v="1112"/>
  </r>
  <r>
    <x v="1118"/>
    <x v="75"/>
    <x v="1109"/>
    <x v="1"/>
    <x v="4"/>
    <x v="1111"/>
    <x v="319"/>
    <x v="2"/>
    <x v="2"/>
    <x v="1118"/>
    <x v="4"/>
    <x v="2"/>
    <x v="2"/>
    <x v="1113"/>
  </r>
  <r>
    <x v="1119"/>
    <x v="167"/>
    <x v="1110"/>
    <x v="5"/>
    <x v="2"/>
    <x v="1112"/>
    <x v="224"/>
    <x v="2"/>
    <x v="3"/>
    <x v="1119"/>
    <x v="9"/>
    <x v="1"/>
    <x v="2"/>
    <x v="1114"/>
  </r>
  <r>
    <x v="1120"/>
    <x v="400"/>
    <x v="1111"/>
    <x v="2"/>
    <x v="2"/>
    <x v="1113"/>
    <x v="40"/>
    <x v="1"/>
    <x v="4"/>
    <x v="1120"/>
    <x v="1"/>
    <x v="2"/>
    <x v="3"/>
    <x v="1115"/>
  </r>
  <r>
    <x v="1121"/>
    <x v="654"/>
    <x v="1112"/>
    <x v="1"/>
    <x v="4"/>
    <x v="1114"/>
    <x v="555"/>
    <x v="3"/>
    <x v="2"/>
    <x v="1121"/>
    <x v="1"/>
    <x v="1"/>
    <x v="0"/>
    <x v="1116"/>
  </r>
  <r>
    <x v="1122"/>
    <x v="323"/>
    <x v="266"/>
    <x v="0"/>
    <x v="0"/>
    <x v="1115"/>
    <x v="598"/>
    <x v="1"/>
    <x v="2"/>
    <x v="1122"/>
    <x v="2"/>
    <x v="2"/>
    <x v="3"/>
    <x v="1117"/>
  </r>
  <r>
    <x v="1123"/>
    <x v="655"/>
    <x v="1113"/>
    <x v="2"/>
    <x v="4"/>
    <x v="1116"/>
    <x v="626"/>
    <x v="0"/>
    <x v="0"/>
    <x v="1123"/>
    <x v="5"/>
    <x v="3"/>
    <x v="1"/>
    <x v="1118"/>
  </r>
  <r>
    <x v="1124"/>
    <x v="221"/>
    <x v="1114"/>
    <x v="3"/>
    <x v="3"/>
    <x v="1117"/>
    <x v="627"/>
    <x v="3"/>
    <x v="2"/>
    <x v="1124"/>
    <x v="3"/>
    <x v="2"/>
    <x v="0"/>
    <x v="1119"/>
  </r>
  <r>
    <x v="1125"/>
    <x v="504"/>
    <x v="1115"/>
    <x v="6"/>
    <x v="3"/>
    <x v="1118"/>
    <x v="548"/>
    <x v="3"/>
    <x v="1"/>
    <x v="1125"/>
    <x v="4"/>
    <x v="1"/>
    <x v="1"/>
    <x v="1120"/>
  </r>
  <r>
    <x v="1126"/>
    <x v="319"/>
    <x v="1116"/>
    <x v="1"/>
    <x v="0"/>
    <x v="1119"/>
    <x v="628"/>
    <x v="4"/>
    <x v="3"/>
    <x v="1126"/>
    <x v="0"/>
    <x v="0"/>
    <x v="4"/>
    <x v="1121"/>
  </r>
  <r>
    <x v="1127"/>
    <x v="175"/>
    <x v="1117"/>
    <x v="4"/>
    <x v="4"/>
    <x v="1120"/>
    <x v="529"/>
    <x v="2"/>
    <x v="0"/>
    <x v="1127"/>
    <x v="5"/>
    <x v="0"/>
    <x v="2"/>
    <x v="1122"/>
  </r>
  <r>
    <x v="1128"/>
    <x v="538"/>
    <x v="1118"/>
    <x v="0"/>
    <x v="4"/>
    <x v="1121"/>
    <x v="80"/>
    <x v="4"/>
    <x v="1"/>
    <x v="1128"/>
    <x v="3"/>
    <x v="3"/>
    <x v="4"/>
    <x v="1123"/>
  </r>
  <r>
    <x v="1129"/>
    <x v="236"/>
    <x v="1119"/>
    <x v="3"/>
    <x v="3"/>
    <x v="1122"/>
    <x v="70"/>
    <x v="4"/>
    <x v="4"/>
    <x v="1129"/>
    <x v="2"/>
    <x v="1"/>
    <x v="0"/>
    <x v="1124"/>
  </r>
  <r>
    <x v="1130"/>
    <x v="656"/>
    <x v="1120"/>
    <x v="5"/>
    <x v="1"/>
    <x v="1123"/>
    <x v="91"/>
    <x v="2"/>
    <x v="2"/>
    <x v="1130"/>
    <x v="3"/>
    <x v="1"/>
    <x v="0"/>
    <x v="1125"/>
  </r>
  <r>
    <x v="1131"/>
    <x v="408"/>
    <x v="1121"/>
    <x v="1"/>
    <x v="2"/>
    <x v="1124"/>
    <x v="241"/>
    <x v="2"/>
    <x v="4"/>
    <x v="1131"/>
    <x v="1"/>
    <x v="3"/>
    <x v="3"/>
    <x v="1126"/>
  </r>
  <r>
    <x v="1132"/>
    <x v="657"/>
    <x v="1122"/>
    <x v="3"/>
    <x v="1"/>
    <x v="1125"/>
    <x v="198"/>
    <x v="2"/>
    <x v="1"/>
    <x v="1132"/>
    <x v="4"/>
    <x v="0"/>
    <x v="2"/>
    <x v="1127"/>
  </r>
  <r>
    <x v="1133"/>
    <x v="398"/>
    <x v="1123"/>
    <x v="4"/>
    <x v="1"/>
    <x v="1126"/>
    <x v="187"/>
    <x v="3"/>
    <x v="2"/>
    <x v="1133"/>
    <x v="3"/>
    <x v="3"/>
    <x v="3"/>
    <x v="1128"/>
  </r>
  <r>
    <x v="1134"/>
    <x v="180"/>
    <x v="1124"/>
    <x v="6"/>
    <x v="3"/>
    <x v="1127"/>
    <x v="629"/>
    <x v="0"/>
    <x v="1"/>
    <x v="1134"/>
    <x v="4"/>
    <x v="3"/>
    <x v="3"/>
    <x v="1129"/>
  </r>
  <r>
    <x v="1135"/>
    <x v="153"/>
    <x v="1125"/>
    <x v="4"/>
    <x v="1"/>
    <x v="1128"/>
    <x v="203"/>
    <x v="1"/>
    <x v="0"/>
    <x v="1135"/>
    <x v="7"/>
    <x v="0"/>
    <x v="4"/>
    <x v="1130"/>
  </r>
  <r>
    <x v="1136"/>
    <x v="463"/>
    <x v="1126"/>
    <x v="2"/>
    <x v="4"/>
    <x v="1129"/>
    <x v="472"/>
    <x v="3"/>
    <x v="4"/>
    <x v="1136"/>
    <x v="4"/>
    <x v="3"/>
    <x v="3"/>
    <x v="1131"/>
  </r>
  <r>
    <x v="1137"/>
    <x v="511"/>
    <x v="1127"/>
    <x v="4"/>
    <x v="3"/>
    <x v="1130"/>
    <x v="630"/>
    <x v="4"/>
    <x v="4"/>
    <x v="1137"/>
    <x v="3"/>
    <x v="3"/>
    <x v="0"/>
    <x v="1132"/>
  </r>
  <r>
    <x v="1138"/>
    <x v="552"/>
    <x v="1128"/>
    <x v="6"/>
    <x v="3"/>
    <x v="1131"/>
    <x v="455"/>
    <x v="0"/>
    <x v="4"/>
    <x v="1138"/>
    <x v="4"/>
    <x v="2"/>
    <x v="0"/>
    <x v="1133"/>
  </r>
  <r>
    <x v="1139"/>
    <x v="627"/>
    <x v="1042"/>
    <x v="3"/>
    <x v="4"/>
    <x v="1132"/>
    <x v="28"/>
    <x v="3"/>
    <x v="1"/>
    <x v="1139"/>
    <x v="4"/>
    <x v="1"/>
    <x v="2"/>
    <x v="1134"/>
  </r>
  <r>
    <x v="1140"/>
    <x v="658"/>
    <x v="1129"/>
    <x v="4"/>
    <x v="1"/>
    <x v="1133"/>
    <x v="8"/>
    <x v="2"/>
    <x v="1"/>
    <x v="1140"/>
    <x v="1"/>
    <x v="2"/>
    <x v="1"/>
    <x v="1135"/>
  </r>
  <r>
    <x v="1141"/>
    <x v="656"/>
    <x v="1130"/>
    <x v="3"/>
    <x v="4"/>
    <x v="1134"/>
    <x v="17"/>
    <x v="4"/>
    <x v="1"/>
    <x v="1141"/>
    <x v="5"/>
    <x v="2"/>
    <x v="2"/>
    <x v="1136"/>
  </r>
  <r>
    <x v="1142"/>
    <x v="1"/>
    <x v="1131"/>
    <x v="1"/>
    <x v="3"/>
    <x v="1135"/>
    <x v="631"/>
    <x v="0"/>
    <x v="2"/>
    <x v="1142"/>
    <x v="2"/>
    <x v="2"/>
    <x v="2"/>
    <x v="1137"/>
  </r>
  <r>
    <x v="1143"/>
    <x v="659"/>
    <x v="1132"/>
    <x v="3"/>
    <x v="2"/>
    <x v="1136"/>
    <x v="632"/>
    <x v="0"/>
    <x v="4"/>
    <x v="1143"/>
    <x v="3"/>
    <x v="2"/>
    <x v="2"/>
    <x v="1138"/>
  </r>
  <r>
    <x v="1144"/>
    <x v="223"/>
    <x v="1133"/>
    <x v="6"/>
    <x v="0"/>
    <x v="1137"/>
    <x v="633"/>
    <x v="1"/>
    <x v="1"/>
    <x v="1144"/>
    <x v="6"/>
    <x v="2"/>
    <x v="3"/>
    <x v="1139"/>
  </r>
  <r>
    <x v="1145"/>
    <x v="275"/>
    <x v="1134"/>
    <x v="6"/>
    <x v="4"/>
    <x v="1138"/>
    <x v="218"/>
    <x v="0"/>
    <x v="3"/>
    <x v="1145"/>
    <x v="5"/>
    <x v="1"/>
    <x v="3"/>
    <x v="1140"/>
  </r>
  <r>
    <x v="1146"/>
    <x v="525"/>
    <x v="1135"/>
    <x v="0"/>
    <x v="0"/>
    <x v="1139"/>
    <x v="351"/>
    <x v="4"/>
    <x v="4"/>
    <x v="1146"/>
    <x v="3"/>
    <x v="0"/>
    <x v="0"/>
    <x v="1141"/>
  </r>
  <r>
    <x v="1147"/>
    <x v="143"/>
    <x v="1136"/>
    <x v="3"/>
    <x v="1"/>
    <x v="1140"/>
    <x v="634"/>
    <x v="1"/>
    <x v="4"/>
    <x v="1147"/>
    <x v="7"/>
    <x v="1"/>
    <x v="2"/>
    <x v="1142"/>
  </r>
  <r>
    <x v="1148"/>
    <x v="611"/>
    <x v="1137"/>
    <x v="1"/>
    <x v="2"/>
    <x v="1141"/>
    <x v="635"/>
    <x v="4"/>
    <x v="2"/>
    <x v="1148"/>
    <x v="7"/>
    <x v="0"/>
    <x v="2"/>
    <x v="1143"/>
  </r>
  <r>
    <x v="1149"/>
    <x v="568"/>
    <x v="1138"/>
    <x v="3"/>
    <x v="1"/>
    <x v="1142"/>
    <x v="636"/>
    <x v="2"/>
    <x v="4"/>
    <x v="1149"/>
    <x v="5"/>
    <x v="1"/>
    <x v="0"/>
    <x v="1144"/>
  </r>
  <r>
    <x v="1150"/>
    <x v="215"/>
    <x v="1139"/>
    <x v="6"/>
    <x v="3"/>
    <x v="1143"/>
    <x v="232"/>
    <x v="2"/>
    <x v="1"/>
    <x v="1150"/>
    <x v="2"/>
    <x v="0"/>
    <x v="1"/>
    <x v="1145"/>
  </r>
  <r>
    <x v="1151"/>
    <x v="22"/>
    <x v="1140"/>
    <x v="3"/>
    <x v="1"/>
    <x v="1144"/>
    <x v="637"/>
    <x v="4"/>
    <x v="1"/>
    <x v="1151"/>
    <x v="4"/>
    <x v="2"/>
    <x v="4"/>
    <x v="1146"/>
  </r>
  <r>
    <x v="1152"/>
    <x v="576"/>
    <x v="1141"/>
    <x v="2"/>
    <x v="1"/>
    <x v="1145"/>
    <x v="91"/>
    <x v="2"/>
    <x v="0"/>
    <x v="1152"/>
    <x v="0"/>
    <x v="2"/>
    <x v="1"/>
    <x v="1147"/>
  </r>
  <r>
    <x v="1153"/>
    <x v="393"/>
    <x v="1142"/>
    <x v="0"/>
    <x v="3"/>
    <x v="1146"/>
    <x v="638"/>
    <x v="0"/>
    <x v="0"/>
    <x v="1153"/>
    <x v="4"/>
    <x v="2"/>
    <x v="0"/>
    <x v="1148"/>
  </r>
  <r>
    <x v="1154"/>
    <x v="113"/>
    <x v="1143"/>
    <x v="0"/>
    <x v="4"/>
    <x v="1147"/>
    <x v="110"/>
    <x v="4"/>
    <x v="4"/>
    <x v="1154"/>
    <x v="2"/>
    <x v="0"/>
    <x v="0"/>
    <x v="1149"/>
  </r>
  <r>
    <x v="1155"/>
    <x v="340"/>
    <x v="1144"/>
    <x v="4"/>
    <x v="3"/>
    <x v="1148"/>
    <x v="148"/>
    <x v="2"/>
    <x v="3"/>
    <x v="1155"/>
    <x v="5"/>
    <x v="1"/>
    <x v="3"/>
    <x v="1150"/>
  </r>
  <r>
    <x v="1156"/>
    <x v="45"/>
    <x v="1145"/>
    <x v="5"/>
    <x v="3"/>
    <x v="1149"/>
    <x v="14"/>
    <x v="2"/>
    <x v="0"/>
    <x v="1156"/>
    <x v="6"/>
    <x v="2"/>
    <x v="1"/>
    <x v="1151"/>
  </r>
  <r>
    <x v="1157"/>
    <x v="382"/>
    <x v="1146"/>
    <x v="0"/>
    <x v="4"/>
    <x v="1150"/>
    <x v="195"/>
    <x v="0"/>
    <x v="3"/>
    <x v="1157"/>
    <x v="3"/>
    <x v="1"/>
    <x v="4"/>
    <x v="1152"/>
  </r>
  <r>
    <x v="1158"/>
    <x v="197"/>
    <x v="1147"/>
    <x v="0"/>
    <x v="3"/>
    <x v="1151"/>
    <x v="345"/>
    <x v="0"/>
    <x v="4"/>
    <x v="1158"/>
    <x v="4"/>
    <x v="0"/>
    <x v="1"/>
    <x v="1153"/>
  </r>
  <r>
    <x v="1159"/>
    <x v="203"/>
    <x v="1148"/>
    <x v="6"/>
    <x v="3"/>
    <x v="1152"/>
    <x v="356"/>
    <x v="0"/>
    <x v="2"/>
    <x v="1159"/>
    <x v="2"/>
    <x v="2"/>
    <x v="0"/>
    <x v="1154"/>
  </r>
  <r>
    <x v="1160"/>
    <x v="333"/>
    <x v="1149"/>
    <x v="6"/>
    <x v="2"/>
    <x v="1153"/>
    <x v="367"/>
    <x v="0"/>
    <x v="0"/>
    <x v="1160"/>
    <x v="3"/>
    <x v="0"/>
    <x v="2"/>
    <x v="1155"/>
  </r>
  <r>
    <x v="1161"/>
    <x v="504"/>
    <x v="1150"/>
    <x v="1"/>
    <x v="2"/>
    <x v="1154"/>
    <x v="283"/>
    <x v="4"/>
    <x v="1"/>
    <x v="1161"/>
    <x v="5"/>
    <x v="3"/>
    <x v="2"/>
    <x v="1156"/>
  </r>
  <r>
    <x v="1162"/>
    <x v="660"/>
    <x v="1151"/>
    <x v="1"/>
    <x v="1"/>
    <x v="1155"/>
    <x v="639"/>
    <x v="0"/>
    <x v="3"/>
    <x v="1162"/>
    <x v="1"/>
    <x v="3"/>
    <x v="1"/>
    <x v="1157"/>
  </r>
  <r>
    <x v="1163"/>
    <x v="184"/>
    <x v="1152"/>
    <x v="5"/>
    <x v="4"/>
    <x v="1156"/>
    <x v="640"/>
    <x v="2"/>
    <x v="2"/>
    <x v="1163"/>
    <x v="0"/>
    <x v="3"/>
    <x v="0"/>
    <x v="1158"/>
  </r>
  <r>
    <x v="1164"/>
    <x v="649"/>
    <x v="1153"/>
    <x v="2"/>
    <x v="0"/>
    <x v="1157"/>
    <x v="416"/>
    <x v="0"/>
    <x v="3"/>
    <x v="1164"/>
    <x v="5"/>
    <x v="3"/>
    <x v="2"/>
    <x v="1159"/>
  </r>
  <r>
    <x v="1165"/>
    <x v="328"/>
    <x v="1154"/>
    <x v="3"/>
    <x v="4"/>
    <x v="1158"/>
    <x v="641"/>
    <x v="0"/>
    <x v="4"/>
    <x v="1165"/>
    <x v="1"/>
    <x v="2"/>
    <x v="4"/>
    <x v="1160"/>
  </r>
  <r>
    <x v="1166"/>
    <x v="48"/>
    <x v="1155"/>
    <x v="3"/>
    <x v="4"/>
    <x v="1159"/>
    <x v="76"/>
    <x v="4"/>
    <x v="3"/>
    <x v="1166"/>
    <x v="4"/>
    <x v="3"/>
    <x v="2"/>
    <x v="1161"/>
  </r>
  <r>
    <x v="1167"/>
    <x v="661"/>
    <x v="1156"/>
    <x v="4"/>
    <x v="1"/>
    <x v="1160"/>
    <x v="235"/>
    <x v="2"/>
    <x v="4"/>
    <x v="1167"/>
    <x v="3"/>
    <x v="1"/>
    <x v="3"/>
    <x v="1162"/>
  </r>
  <r>
    <x v="1168"/>
    <x v="505"/>
    <x v="1157"/>
    <x v="5"/>
    <x v="1"/>
    <x v="1161"/>
    <x v="642"/>
    <x v="2"/>
    <x v="3"/>
    <x v="1168"/>
    <x v="5"/>
    <x v="3"/>
    <x v="4"/>
    <x v="1163"/>
  </r>
  <r>
    <x v="1169"/>
    <x v="662"/>
    <x v="1158"/>
    <x v="3"/>
    <x v="2"/>
    <x v="1162"/>
    <x v="643"/>
    <x v="4"/>
    <x v="1"/>
    <x v="1169"/>
    <x v="7"/>
    <x v="0"/>
    <x v="0"/>
    <x v="1164"/>
  </r>
  <r>
    <x v="1170"/>
    <x v="567"/>
    <x v="1159"/>
    <x v="4"/>
    <x v="1"/>
    <x v="1163"/>
    <x v="197"/>
    <x v="4"/>
    <x v="2"/>
    <x v="1170"/>
    <x v="0"/>
    <x v="1"/>
    <x v="2"/>
    <x v="1165"/>
  </r>
  <r>
    <x v="1171"/>
    <x v="81"/>
    <x v="1160"/>
    <x v="1"/>
    <x v="3"/>
    <x v="1164"/>
    <x v="644"/>
    <x v="2"/>
    <x v="3"/>
    <x v="1171"/>
    <x v="0"/>
    <x v="0"/>
    <x v="3"/>
    <x v="1166"/>
  </r>
  <r>
    <x v="1172"/>
    <x v="496"/>
    <x v="1161"/>
    <x v="6"/>
    <x v="4"/>
    <x v="1165"/>
    <x v="383"/>
    <x v="2"/>
    <x v="4"/>
    <x v="1172"/>
    <x v="2"/>
    <x v="2"/>
    <x v="0"/>
    <x v="1167"/>
  </r>
  <r>
    <x v="1173"/>
    <x v="449"/>
    <x v="1162"/>
    <x v="0"/>
    <x v="2"/>
    <x v="1166"/>
    <x v="481"/>
    <x v="1"/>
    <x v="0"/>
    <x v="1173"/>
    <x v="4"/>
    <x v="1"/>
    <x v="2"/>
    <x v="1168"/>
  </r>
  <r>
    <x v="1174"/>
    <x v="110"/>
    <x v="1163"/>
    <x v="4"/>
    <x v="4"/>
    <x v="1167"/>
    <x v="645"/>
    <x v="2"/>
    <x v="2"/>
    <x v="1174"/>
    <x v="3"/>
    <x v="3"/>
    <x v="2"/>
    <x v="1169"/>
  </r>
  <r>
    <x v="1175"/>
    <x v="663"/>
    <x v="1164"/>
    <x v="4"/>
    <x v="4"/>
    <x v="1168"/>
    <x v="256"/>
    <x v="0"/>
    <x v="2"/>
    <x v="1175"/>
    <x v="2"/>
    <x v="1"/>
    <x v="1"/>
    <x v="1170"/>
  </r>
  <r>
    <x v="1176"/>
    <x v="340"/>
    <x v="1165"/>
    <x v="2"/>
    <x v="1"/>
    <x v="1169"/>
    <x v="646"/>
    <x v="0"/>
    <x v="1"/>
    <x v="1176"/>
    <x v="7"/>
    <x v="3"/>
    <x v="2"/>
    <x v="1171"/>
  </r>
  <r>
    <x v="1177"/>
    <x v="664"/>
    <x v="1166"/>
    <x v="4"/>
    <x v="2"/>
    <x v="1170"/>
    <x v="339"/>
    <x v="4"/>
    <x v="0"/>
    <x v="1177"/>
    <x v="1"/>
    <x v="0"/>
    <x v="1"/>
    <x v="1172"/>
  </r>
  <r>
    <x v="1178"/>
    <x v="50"/>
    <x v="1167"/>
    <x v="0"/>
    <x v="2"/>
    <x v="1171"/>
    <x v="206"/>
    <x v="2"/>
    <x v="1"/>
    <x v="1178"/>
    <x v="4"/>
    <x v="1"/>
    <x v="4"/>
    <x v="1173"/>
  </r>
  <r>
    <x v="1179"/>
    <x v="124"/>
    <x v="1168"/>
    <x v="5"/>
    <x v="0"/>
    <x v="1172"/>
    <x v="299"/>
    <x v="2"/>
    <x v="1"/>
    <x v="1179"/>
    <x v="5"/>
    <x v="3"/>
    <x v="0"/>
    <x v="1174"/>
  </r>
  <r>
    <x v="1180"/>
    <x v="150"/>
    <x v="1169"/>
    <x v="3"/>
    <x v="3"/>
    <x v="1173"/>
    <x v="395"/>
    <x v="0"/>
    <x v="4"/>
    <x v="1180"/>
    <x v="2"/>
    <x v="1"/>
    <x v="4"/>
    <x v="1175"/>
  </r>
  <r>
    <x v="1181"/>
    <x v="152"/>
    <x v="1170"/>
    <x v="6"/>
    <x v="4"/>
    <x v="1174"/>
    <x v="284"/>
    <x v="1"/>
    <x v="4"/>
    <x v="1181"/>
    <x v="0"/>
    <x v="1"/>
    <x v="0"/>
    <x v="1176"/>
  </r>
  <r>
    <x v="1182"/>
    <x v="554"/>
    <x v="1171"/>
    <x v="3"/>
    <x v="1"/>
    <x v="1175"/>
    <x v="425"/>
    <x v="3"/>
    <x v="2"/>
    <x v="1182"/>
    <x v="1"/>
    <x v="0"/>
    <x v="4"/>
    <x v="1177"/>
  </r>
  <r>
    <x v="1183"/>
    <x v="228"/>
    <x v="1172"/>
    <x v="6"/>
    <x v="2"/>
    <x v="1176"/>
    <x v="223"/>
    <x v="3"/>
    <x v="0"/>
    <x v="1183"/>
    <x v="5"/>
    <x v="3"/>
    <x v="1"/>
    <x v="1178"/>
  </r>
  <r>
    <x v="1184"/>
    <x v="610"/>
    <x v="1173"/>
    <x v="5"/>
    <x v="2"/>
    <x v="1177"/>
    <x v="528"/>
    <x v="3"/>
    <x v="2"/>
    <x v="1184"/>
    <x v="4"/>
    <x v="2"/>
    <x v="4"/>
    <x v="1179"/>
  </r>
  <r>
    <x v="1185"/>
    <x v="665"/>
    <x v="1174"/>
    <x v="3"/>
    <x v="2"/>
    <x v="1178"/>
    <x v="647"/>
    <x v="3"/>
    <x v="2"/>
    <x v="1185"/>
    <x v="5"/>
    <x v="0"/>
    <x v="4"/>
    <x v="1180"/>
  </r>
  <r>
    <x v="1186"/>
    <x v="134"/>
    <x v="1175"/>
    <x v="0"/>
    <x v="2"/>
    <x v="1179"/>
    <x v="648"/>
    <x v="4"/>
    <x v="0"/>
    <x v="1186"/>
    <x v="5"/>
    <x v="3"/>
    <x v="3"/>
    <x v="1181"/>
  </r>
  <r>
    <x v="1187"/>
    <x v="206"/>
    <x v="1176"/>
    <x v="6"/>
    <x v="1"/>
    <x v="1180"/>
    <x v="203"/>
    <x v="3"/>
    <x v="3"/>
    <x v="1187"/>
    <x v="0"/>
    <x v="3"/>
    <x v="2"/>
    <x v="1182"/>
  </r>
  <r>
    <x v="1188"/>
    <x v="47"/>
    <x v="1177"/>
    <x v="4"/>
    <x v="1"/>
    <x v="1181"/>
    <x v="649"/>
    <x v="3"/>
    <x v="0"/>
    <x v="1188"/>
    <x v="3"/>
    <x v="3"/>
    <x v="3"/>
    <x v="1183"/>
  </r>
  <r>
    <x v="1189"/>
    <x v="666"/>
    <x v="1178"/>
    <x v="2"/>
    <x v="0"/>
    <x v="1182"/>
    <x v="650"/>
    <x v="4"/>
    <x v="1"/>
    <x v="1189"/>
    <x v="0"/>
    <x v="2"/>
    <x v="1"/>
    <x v="1184"/>
  </r>
  <r>
    <x v="1190"/>
    <x v="647"/>
    <x v="1179"/>
    <x v="6"/>
    <x v="4"/>
    <x v="1183"/>
    <x v="651"/>
    <x v="2"/>
    <x v="0"/>
    <x v="1190"/>
    <x v="5"/>
    <x v="1"/>
    <x v="0"/>
    <x v="1185"/>
  </r>
  <r>
    <x v="1191"/>
    <x v="441"/>
    <x v="1180"/>
    <x v="6"/>
    <x v="3"/>
    <x v="1184"/>
    <x v="431"/>
    <x v="3"/>
    <x v="4"/>
    <x v="1191"/>
    <x v="3"/>
    <x v="3"/>
    <x v="0"/>
    <x v="1186"/>
  </r>
  <r>
    <x v="1192"/>
    <x v="329"/>
    <x v="1181"/>
    <x v="3"/>
    <x v="4"/>
    <x v="1185"/>
    <x v="183"/>
    <x v="1"/>
    <x v="4"/>
    <x v="1192"/>
    <x v="4"/>
    <x v="2"/>
    <x v="0"/>
    <x v="1187"/>
  </r>
  <r>
    <x v="1193"/>
    <x v="667"/>
    <x v="1182"/>
    <x v="2"/>
    <x v="2"/>
    <x v="1186"/>
    <x v="71"/>
    <x v="4"/>
    <x v="2"/>
    <x v="1193"/>
    <x v="9"/>
    <x v="1"/>
    <x v="2"/>
    <x v="1188"/>
  </r>
  <r>
    <x v="1194"/>
    <x v="614"/>
    <x v="1183"/>
    <x v="4"/>
    <x v="4"/>
    <x v="1187"/>
    <x v="172"/>
    <x v="4"/>
    <x v="4"/>
    <x v="1194"/>
    <x v="4"/>
    <x v="1"/>
    <x v="2"/>
    <x v="1189"/>
  </r>
  <r>
    <x v="1195"/>
    <x v="643"/>
    <x v="1184"/>
    <x v="6"/>
    <x v="2"/>
    <x v="1188"/>
    <x v="652"/>
    <x v="2"/>
    <x v="1"/>
    <x v="1195"/>
    <x v="5"/>
    <x v="1"/>
    <x v="4"/>
    <x v="1190"/>
  </r>
  <r>
    <x v="1196"/>
    <x v="668"/>
    <x v="1185"/>
    <x v="0"/>
    <x v="1"/>
    <x v="1189"/>
    <x v="320"/>
    <x v="1"/>
    <x v="1"/>
    <x v="1196"/>
    <x v="3"/>
    <x v="2"/>
    <x v="3"/>
    <x v="1191"/>
  </r>
  <r>
    <x v="1197"/>
    <x v="669"/>
    <x v="1186"/>
    <x v="2"/>
    <x v="1"/>
    <x v="1190"/>
    <x v="3"/>
    <x v="1"/>
    <x v="3"/>
    <x v="1197"/>
    <x v="7"/>
    <x v="1"/>
    <x v="0"/>
    <x v="1192"/>
  </r>
  <r>
    <x v="1198"/>
    <x v="670"/>
    <x v="1187"/>
    <x v="3"/>
    <x v="3"/>
    <x v="1191"/>
    <x v="653"/>
    <x v="0"/>
    <x v="1"/>
    <x v="1198"/>
    <x v="4"/>
    <x v="3"/>
    <x v="0"/>
    <x v="1193"/>
  </r>
  <r>
    <x v="1199"/>
    <x v="236"/>
    <x v="1188"/>
    <x v="2"/>
    <x v="3"/>
    <x v="1192"/>
    <x v="654"/>
    <x v="3"/>
    <x v="2"/>
    <x v="1199"/>
    <x v="5"/>
    <x v="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20B6C-E8A7-40CC-BFF3-7BBD8C846C1D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J32:K37" firstHeaderRow="1" firstDataRow="1" firstDataCol="1"/>
  <pivotFields count="17">
    <pivotField compact="0" outline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compact="0" numFmtId="165" outline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outline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outline="0" showAll="0">
      <items count="6">
        <item x="4"/>
        <item x="2"/>
        <item x="0"/>
        <item x="3"/>
        <item x="1"/>
        <item t="default"/>
      </items>
    </pivotField>
    <pivotField axis="axisRow" dataField="1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Order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4566D-33A7-4376-BACE-BA03C269111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D2:D3" firstHeaderRow="1" firstDataRow="1" firstDataCol="0"/>
  <pivotFields count="17">
    <pivotField compact="0" outline="0" showAll="0"/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Sum of TotalPrice" fld="1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57B21-6A74-4BE5-A2CA-B8B18F1E01BB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G14:H19" firstHeaderRow="1" firstDataRow="1" firstDataCol="1"/>
  <pivotFields count="17">
    <pivotField compact="0" outline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axis="axisRow" compact="0" outline="0" showAll="0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4"/>
  </rowFields>
  <rowItems count="5">
    <i>
      <x v="4"/>
    </i>
    <i>
      <x v="3"/>
    </i>
    <i>
      <x v="2"/>
    </i>
    <i>
      <x v="1"/>
    </i>
    <i>
      <x/>
    </i>
  </rowItems>
  <colItems count="1">
    <i/>
  </colItems>
  <dataFields count="1">
    <dataField name="Sum of Total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85AAC-583E-4319-A7D5-D88BFC2C1515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G41:H51" firstHeaderRow="1" firstDataRow="1" firstDataCol="1"/>
  <pivotFields count="17">
    <pivotField compact="0" outline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compact="0" numFmtId="165" outline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outline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outline="0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Row" compact="0" outline="0" showAll="0" sortType="descending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0"/>
  </rowFields>
  <rowItems count="10">
    <i>
      <x v="5"/>
    </i>
    <i>
      <x v="4"/>
    </i>
    <i>
      <x v="7"/>
    </i>
    <i>
      <x v="6"/>
    </i>
    <i>
      <x v="3"/>
    </i>
    <i>
      <x v="8"/>
    </i>
    <i>
      <x v="2"/>
    </i>
    <i>
      <x v="9"/>
    </i>
    <i>
      <x v="1"/>
    </i>
    <i>
      <x/>
    </i>
  </rowItems>
  <colItems count="1">
    <i/>
  </colItems>
  <dataFields count="1">
    <dataField name="Sum of TotalPrice" fld="13" baseField="1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38A85-19D2-4F77-958D-D4D1713CF009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G32:H37" firstHeaderRow="1" firstDataRow="1" firstDataCol="1"/>
  <pivotFields count="17">
    <pivotField compact="0" outline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compact="0" numFmtId="165" outline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outline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compact="0" outline="0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5">
    <i>
      <x/>
    </i>
    <i>
      <x v="2"/>
    </i>
    <i>
      <x v="4"/>
    </i>
    <i>
      <x v="3"/>
    </i>
    <i>
      <x v="1"/>
    </i>
  </rowItems>
  <colItems count="1">
    <i/>
  </colItems>
  <dataFields count="1">
    <dataField name="Sum of TotalPrice" fld="13" baseField="8" baseItem="0" numFmtId="165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F5758-4B27-4CFE-BCEC-5CE1E21CFA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5:B18" firstHeaderRow="1" firstDataRow="1" firstDataCol="1" rowPageCount="3" colPageCount="1"/>
  <pivotFields count="17">
    <pivotField compact="0" outline="0" showAll="0"/>
    <pivotField axis="axisPage"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3">
    <pageField fld="16" hier="-1"/>
    <pageField fld="15" hier="-1"/>
    <pageField fld="1" hier="-1"/>
  </pageFields>
  <dataFields count="1">
    <dataField name="Sum of TotalPrice" fld="13" baseField="0" baseItem="0" numFmtId="165"/>
  </dataFields>
  <chartFormats count="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38CD1-25FB-4504-A3BE-19ECD125451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D20:D21" firstHeaderRow="1" firstDataRow="1" firstDataCol="0"/>
  <pivotFields count="17">
    <pivotField compact="0" outline="0" showAll="0"/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Average of Quantity" fld="4" subtotal="average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0CE3C-7D55-4824-A289-AD681E86D63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D15:D16" firstHeaderRow="1" firstDataRow="1" firstDataCol="0"/>
  <pivotFields count="17">
    <pivotField compact="0" outline="0" showAll="0"/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Count of Customer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4C2BD-6FE7-47CB-86C5-1FC13CD5B221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G2:H9" firstHeaderRow="1" firstDataRow="1" firstDataCol="1"/>
  <pivotFields count="17">
    <pivotField compact="0" outline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compact="0" outline="0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7">
    <i>
      <x/>
    </i>
    <i>
      <x v="5"/>
    </i>
    <i>
      <x v="2"/>
    </i>
    <i>
      <x v="6"/>
    </i>
    <i>
      <x v="3"/>
    </i>
    <i>
      <x v="1"/>
    </i>
    <i>
      <x v="4"/>
    </i>
  </rowItems>
  <colItems count="1">
    <i/>
  </colItems>
  <dataFields count="1">
    <dataField name="Sum of TotalPrice" fld="13" baseField="0" baseItem="0" numFmtId="165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E616A-576A-4CED-BAA3-A7A6C104EAC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D11:D12" firstHeaderRow="1" firstDataRow="1" firstDataCol="0"/>
  <pivotFields count="17">
    <pivotField compact="0" outline="0" showAll="0"/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Sum of ItemsInCar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9C4FC-1EF4-4BCC-AADC-13D4A85BCEA8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J3:O24" firstHeaderRow="1" firstDataRow="1" firstDataCol="5"/>
  <pivotFields count="17">
    <pivotField compact="0" outline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compact="0" numFmtId="165" outline="0" showAll="0"/>
    <pivotField compact="0" outline="0" showAll="0"/>
    <pivotField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compact="0" outline="0" showAll="0"/>
    <pivotField compact="0" outline="0" showAll="0"/>
    <pivotField dataField="1" compact="0" numFmtId="165" outline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compact="0" outline="0" showAll="0">
      <items count="7">
        <item sd="0" x="0"/>
        <item x="1"/>
        <item x="2"/>
        <item sd="0" x="3"/>
        <item sd="0" x="4"/>
        <item sd="0" x="5"/>
        <item t="default"/>
      </items>
    </pivotField>
    <pivotField axis="axisRow" compact="0" outline="0" showAll="0">
      <items count="6">
        <item sd="0" x="0"/>
        <item x="1"/>
        <item sd="0" x="2"/>
        <item x="3"/>
        <item sd="0" x="4"/>
        <item t="default"/>
      </items>
    </pivotField>
  </pivotFields>
  <rowFields count="5">
    <field x="16"/>
    <field x="15"/>
    <field x="14"/>
    <field x="3"/>
    <field x="1"/>
  </rowFields>
  <rowItems count="21">
    <i>
      <x v="1"/>
      <x v="1"/>
      <x v="1"/>
    </i>
    <i r="2">
      <x v="2"/>
    </i>
    <i r="2">
      <x v="3"/>
    </i>
    <i t="default" r="1">
      <x v="1"/>
    </i>
    <i r="1">
      <x v="2"/>
      <x v="4"/>
    </i>
    <i r="2">
      <x v="5"/>
    </i>
    <i r="2">
      <x v="6"/>
    </i>
    <i t="default" r="1">
      <x v="2"/>
    </i>
    <i r="1">
      <x v="3"/>
    </i>
    <i r="1">
      <x v="4"/>
    </i>
    <i t="default">
      <x v="1"/>
    </i>
    <i>
      <x v="2"/>
    </i>
    <i>
      <x v="3"/>
      <x v="1"/>
      <x v="1"/>
    </i>
    <i r="2">
      <x v="2"/>
    </i>
    <i r="2">
      <x v="3"/>
    </i>
    <i t="default" r="1">
      <x v="1"/>
    </i>
    <i r="1">
      <x v="2"/>
      <x v="4"/>
    </i>
    <i r="2">
      <x v="5"/>
    </i>
    <i r="2">
      <x v="6"/>
    </i>
    <i t="default" r="1">
      <x v="2"/>
    </i>
    <i t="default">
      <x v="3"/>
    </i>
  </rowItems>
  <colItems count="1">
    <i/>
  </colItems>
  <dataFields count="1">
    <dataField name="Sum of Total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2C94D-AF00-4AF6-8B56-218F59C5859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D7:D8" firstHeaderRow="1" firstDataRow="1" firstDataCol="0"/>
  <pivotFields count="17">
    <pivotField compact="0" outline="0" showAll="0"/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Sum of UnitPrice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A858A-EF39-4E06-998E-79A791C6861D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3">
  <location ref="G23:H28" firstHeaderRow="1" firstDataRow="1" firstDataCol="1"/>
  <pivotFields count="17">
    <pivotField compact="0" outline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compact="0" numFmtId="165" outline="0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compact="0" outline="0"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axis="axisRow" compact="0" outline="0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5">
    <i>
      <x v="1"/>
    </i>
    <i>
      <x v="4"/>
    </i>
    <i>
      <x/>
    </i>
    <i>
      <x v="3"/>
    </i>
    <i>
      <x v="2"/>
    </i>
  </rowItems>
  <colItems count="1">
    <i/>
  </colItems>
  <dataFields count="1">
    <dataField name="Sum of TotalPrice" fld="13" baseField="0" baseItem="0" numFmtId="165"/>
  </dataField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8D54-8830-4DF4-B2FC-E35517E976AF}">
  <dimension ref="A1:O51"/>
  <sheetViews>
    <sheetView workbookViewId="0">
      <selection activeCell="K33" sqref="K33"/>
    </sheetView>
  </sheetViews>
  <sheetFormatPr defaultRowHeight="15" x14ac:dyDescent="0.25"/>
  <cols>
    <col min="1" max="1" width="16.28515625" bestFit="1" customWidth="1"/>
    <col min="2" max="3" width="16.5703125" bestFit="1" customWidth="1"/>
    <col min="4" max="4" width="19" bestFit="1" customWidth="1"/>
    <col min="5" max="5" width="16.5703125" bestFit="1" customWidth="1"/>
    <col min="7" max="7" width="10.140625" bestFit="1" customWidth="1"/>
    <col min="8" max="9" width="16.5703125" bestFit="1" customWidth="1"/>
    <col min="10" max="10" width="13.85546875" bestFit="1" customWidth="1"/>
    <col min="11" max="11" width="19.85546875" bestFit="1" customWidth="1"/>
    <col min="12" max="12" width="13.85546875" bestFit="1" customWidth="1"/>
    <col min="13" max="13" width="9.7109375" bestFit="1" customWidth="1"/>
    <col min="14" max="14" width="7.42578125" bestFit="1" customWidth="1"/>
    <col min="15" max="15" width="16.5703125" bestFit="1" customWidth="1"/>
    <col min="16" max="19" width="11.140625" bestFit="1" customWidth="1"/>
    <col min="20" max="22" width="10.140625" bestFit="1" customWidth="1"/>
    <col min="23" max="1210" width="10.85546875" bestFit="1" customWidth="1"/>
  </cols>
  <sheetData>
    <row r="1" spans="1:15" x14ac:dyDescent="0.25">
      <c r="A1" s="9" t="s">
        <v>4301</v>
      </c>
      <c r="B1" t="s">
        <v>4302</v>
      </c>
    </row>
    <row r="2" spans="1:15" x14ac:dyDescent="0.25">
      <c r="A2" s="9" t="s">
        <v>4315</v>
      </c>
      <c r="B2" t="s">
        <v>4302</v>
      </c>
      <c r="D2" t="s">
        <v>4300</v>
      </c>
      <c r="G2" s="9" t="s">
        <v>3</v>
      </c>
      <c r="H2" t="s">
        <v>4300</v>
      </c>
    </row>
    <row r="3" spans="1:15" x14ac:dyDescent="0.25">
      <c r="A3" s="9" t="s">
        <v>1</v>
      </c>
      <c r="B3" t="s">
        <v>4302</v>
      </c>
      <c r="D3" s="5">
        <v>1264761.9600000004</v>
      </c>
      <c r="G3" t="s">
        <v>2406</v>
      </c>
      <c r="H3" s="5">
        <v>195620.11000000002</v>
      </c>
      <c r="J3" s="9" t="s">
        <v>4301</v>
      </c>
      <c r="K3" s="9" t="s">
        <v>4315</v>
      </c>
      <c r="L3" s="9" t="s">
        <v>4316</v>
      </c>
      <c r="M3" s="9" t="s">
        <v>3</v>
      </c>
      <c r="N3" s="9" t="s">
        <v>1</v>
      </c>
      <c r="O3" t="s">
        <v>4300</v>
      </c>
    </row>
    <row r="4" spans="1:15" x14ac:dyDescent="0.25">
      <c r="G4" t="s">
        <v>2407</v>
      </c>
      <c r="H4" s="5">
        <v>195612.60999999996</v>
      </c>
      <c r="J4" t="s">
        <v>4320</v>
      </c>
      <c r="K4" t="s">
        <v>4323</v>
      </c>
      <c r="L4" t="s">
        <v>4303</v>
      </c>
      <c r="O4" s="5">
        <v>56685.749999999985</v>
      </c>
    </row>
    <row r="5" spans="1:15" x14ac:dyDescent="0.25">
      <c r="A5" s="9" t="s">
        <v>4316</v>
      </c>
      <c r="B5" t="s">
        <v>4300</v>
      </c>
      <c r="D5" s="5">
        <f>GETPIVOTDATA("TotalPrice",$D$2)</f>
        <v>1264761.9600000004</v>
      </c>
      <c r="G5" t="s">
        <v>2408</v>
      </c>
      <c r="H5" s="5">
        <v>192126.55999999994</v>
      </c>
      <c r="L5" t="s">
        <v>4304</v>
      </c>
      <c r="O5" s="5">
        <v>40117.659999999996</v>
      </c>
    </row>
    <row r="6" spans="1:15" x14ac:dyDescent="0.25">
      <c r="A6" t="s">
        <v>4303</v>
      </c>
      <c r="B6" s="5">
        <v>124313.23000000005</v>
      </c>
      <c r="G6" t="s">
        <v>2405</v>
      </c>
      <c r="H6" s="5">
        <v>186568.95000000007</v>
      </c>
      <c r="L6" t="s">
        <v>4305</v>
      </c>
      <c r="O6" s="5">
        <v>48609.37000000001</v>
      </c>
    </row>
    <row r="7" spans="1:15" x14ac:dyDescent="0.25">
      <c r="A7" t="s">
        <v>4304</v>
      </c>
      <c r="B7" s="5">
        <v>112344.77999999998</v>
      </c>
      <c r="D7" t="s">
        <v>4317</v>
      </c>
      <c r="G7" t="s">
        <v>2403</v>
      </c>
      <c r="H7" s="5">
        <v>175651.40999999997</v>
      </c>
      <c r="K7" t="s">
        <v>4328</v>
      </c>
      <c r="O7" s="5">
        <v>145412.77999999997</v>
      </c>
    </row>
    <row r="8" spans="1:15" x14ac:dyDescent="0.25">
      <c r="A8" t="s">
        <v>4305</v>
      </c>
      <c r="B8" s="5">
        <v>123840.92999999995</v>
      </c>
      <c r="D8" s="5">
        <v>427695.3000000001</v>
      </c>
      <c r="G8" t="s">
        <v>2409</v>
      </c>
      <c r="H8" s="5">
        <v>167459.93</v>
      </c>
      <c r="K8" t="s">
        <v>4324</v>
      </c>
      <c r="L8" t="s">
        <v>4306</v>
      </c>
      <c r="O8" s="5">
        <v>27751.710000000006</v>
      </c>
    </row>
    <row r="9" spans="1:15" x14ac:dyDescent="0.25">
      <c r="A9" t="s">
        <v>4306</v>
      </c>
      <c r="B9" s="5">
        <v>109186.05</v>
      </c>
      <c r="D9" s="5">
        <f>GETPIVOTDATA("UnitPrice",$D$7)</f>
        <v>427695.3000000001</v>
      </c>
      <c r="G9" t="s">
        <v>2404</v>
      </c>
      <c r="H9" s="5">
        <v>151722.39000000001</v>
      </c>
      <c r="L9" t="s">
        <v>4307</v>
      </c>
      <c r="O9" s="5">
        <v>63836.840000000026</v>
      </c>
    </row>
    <row r="10" spans="1:15" x14ac:dyDescent="0.25">
      <c r="A10" t="s">
        <v>4307</v>
      </c>
      <c r="B10" s="5">
        <v>135142.59</v>
      </c>
      <c r="L10" t="s">
        <v>4308</v>
      </c>
      <c r="O10" s="5">
        <v>49500.19</v>
      </c>
    </row>
    <row r="11" spans="1:15" x14ac:dyDescent="0.25">
      <c r="A11" t="s">
        <v>4308</v>
      </c>
      <c r="B11" s="5">
        <v>170616.13000000006</v>
      </c>
      <c r="D11" t="s">
        <v>4318</v>
      </c>
      <c r="K11" t="s">
        <v>4330</v>
      </c>
      <c r="O11" s="5">
        <v>141088.74000000005</v>
      </c>
    </row>
    <row r="12" spans="1:15" x14ac:dyDescent="0.25">
      <c r="A12" t="s">
        <v>4309</v>
      </c>
      <c r="B12" s="5">
        <v>85784.63999999997</v>
      </c>
      <c r="D12">
        <v>6582</v>
      </c>
      <c r="K12" t="s">
        <v>4325</v>
      </c>
      <c r="O12" s="5">
        <v>126699.47</v>
      </c>
    </row>
    <row r="13" spans="1:15" x14ac:dyDescent="0.25">
      <c r="A13" t="s">
        <v>4310</v>
      </c>
      <c r="B13" s="5">
        <v>86343.210000000036</v>
      </c>
      <c r="D13">
        <f>GETPIVOTDATA("ItemsInCart",$D$11)</f>
        <v>6582</v>
      </c>
      <c r="K13" t="s">
        <v>4326</v>
      </c>
      <c r="O13" s="5">
        <v>139442.25000000009</v>
      </c>
    </row>
    <row r="14" spans="1:15" x14ac:dyDescent="0.25">
      <c r="A14" t="s">
        <v>4311</v>
      </c>
      <c r="B14" s="5">
        <v>69321.650000000023</v>
      </c>
      <c r="G14" s="9" t="s">
        <v>4</v>
      </c>
      <c r="H14" t="s">
        <v>4300</v>
      </c>
      <c r="J14" t="s">
        <v>4327</v>
      </c>
      <c r="O14" s="5">
        <v>552643.24000000011</v>
      </c>
    </row>
    <row r="15" spans="1:15" x14ac:dyDescent="0.25">
      <c r="A15" t="s">
        <v>4312</v>
      </c>
      <c r="B15" s="5">
        <v>89834.820000000022</v>
      </c>
      <c r="D15" t="s">
        <v>4319</v>
      </c>
      <c r="G15">
        <v>5</v>
      </c>
      <c r="H15" s="5">
        <v>379936.85000000009</v>
      </c>
      <c r="J15" t="s">
        <v>4321</v>
      </c>
      <c r="O15" s="5">
        <v>480235.87000000034</v>
      </c>
    </row>
    <row r="16" spans="1:15" x14ac:dyDescent="0.25">
      <c r="A16" t="s">
        <v>4313</v>
      </c>
      <c r="B16" s="5">
        <v>75493.430000000008</v>
      </c>
      <c r="D16">
        <v>1200</v>
      </c>
      <c r="G16">
        <v>4</v>
      </c>
      <c r="H16" s="5">
        <v>368090.9600000002</v>
      </c>
      <c r="J16" t="s">
        <v>4322</v>
      </c>
      <c r="K16" t="s">
        <v>4323</v>
      </c>
      <c r="L16" t="s">
        <v>4303</v>
      </c>
      <c r="O16" s="5">
        <v>29099.399999999998</v>
      </c>
    </row>
    <row r="17" spans="1:15" x14ac:dyDescent="0.25">
      <c r="A17" t="s">
        <v>4314</v>
      </c>
      <c r="B17" s="5">
        <v>82540.5</v>
      </c>
      <c r="D17">
        <f>GETPIVOTDATA("CustomerID",$D$15)</f>
        <v>1200</v>
      </c>
      <c r="G17">
        <v>3</v>
      </c>
      <c r="H17" s="5">
        <v>261276.18000000002</v>
      </c>
      <c r="L17" t="s">
        <v>4304</v>
      </c>
      <c r="O17" s="5">
        <v>35317.549999999996</v>
      </c>
    </row>
    <row r="18" spans="1:15" x14ac:dyDescent="0.25">
      <c r="A18" t="s">
        <v>4299</v>
      </c>
      <c r="B18" s="5">
        <v>1264761.96</v>
      </c>
      <c r="G18">
        <v>2</v>
      </c>
      <c r="H18" s="5">
        <v>165729.68000000002</v>
      </c>
      <c r="L18" t="s">
        <v>4305</v>
      </c>
      <c r="O18" s="5">
        <v>39200.660000000011</v>
      </c>
    </row>
    <row r="19" spans="1:15" x14ac:dyDescent="0.25">
      <c r="G19">
        <v>1</v>
      </c>
      <c r="H19" s="5">
        <v>89728.289999999964</v>
      </c>
      <c r="K19" t="s">
        <v>4328</v>
      </c>
      <c r="O19" s="5">
        <v>103617.61000000002</v>
      </c>
    </row>
    <row r="20" spans="1:15" x14ac:dyDescent="0.25">
      <c r="D20" t="s">
        <v>4331</v>
      </c>
      <c r="K20" t="s">
        <v>4324</v>
      </c>
      <c r="L20" t="s">
        <v>4306</v>
      </c>
      <c r="O20" s="5">
        <v>31821.200000000001</v>
      </c>
    </row>
    <row r="21" spans="1:15" x14ac:dyDescent="0.25">
      <c r="D21" s="6">
        <v>2.9458333333333333</v>
      </c>
      <c r="L21" t="s">
        <v>4307</v>
      </c>
      <c r="O21" s="5">
        <v>43396.639999999992</v>
      </c>
    </row>
    <row r="22" spans="1:15" x14ac:dyDescent="0.25">
      <c r="D22" s="6">
        <f>GETPIVOTDATA("Quantity",$D$20)</f>
        <v>2.9458333333333333</v>
      </c>
      <c r="L22" t="s">
        <v>4308</v>
      </c>
      <c r="O22" s="5">
        <v>53047.399999999994</v>
      </c>
    </row>
    <row r="23" spans="1:15" x14ac:dyDescent="0.25">
      <c r="G23" s="9" t="s">
        <v>7</v>
      </c>
      <c r="H23" t="s">
        <v>4300</v>
      </c>
      <c r="K23" t="s">
        <v>4330</v>
      </c>
      <c r="O23" s="5">
        <v>128265.23999999999</v>
      </c>
    </row>
    <row r="24" spans="1:15" x14ac:dyDescent="0.25">
      <c r="G24" t="s">
        <v>3067</v>
      </c>
      <c r="H24" s="5">
        <v>263847.62999999989</v>
      </c>
      <c r="J24" t="s">
        <v>4329</v>
      </c>
      <c r="O24" s="5">
        <v>231882.85</v>
      </c>
    </row>
    <row r="25" spans="1:15" x14ac:dyDescent="0.25">
      <c r="C25" t="str">
        <f>G14</f>
        <v>Quantity</v>
      </c>
      <c r="D25" t="str">
        <f>H14</f>
        <v>Sum of TotalPrice</v>
      </c>
      <c r="G25" t="s">
        <v>3066</v>
      </c>
      <c r="H25" s="5">
        <v>262442.94000000012</v>
      </c>
    </row>
    <row r="26" spans="1:15" x14ac:dyDescent="0.25">
      <c r="C26">
        <f t="shared" ref="C26:D26" si="0">G15</f>
        <v>5</v>
      </c>
      <c r="D26">
        <f t="shared" si="0"/>
        <v>379936.85000000009</v>
      </c>
      <c r="G26" t="s">
        <v>3069</v>
      </c>
      <c r="H26" s="5">
        <v>259786.28999999992</v>
      </c>
    </row>
    <row r="27" spans="1:15" x14ac:dyDescent="0.25">
      <c r="C27">
        <f t="shared" ref="C27:D27" si="1">G16</f>
        <v>4</v>
      </c>
      <c r="D27">
        <f t="shared" si="1"/>
        <v>368090.9600000002</v>
      </c>
      <c r="G27" t="s">
        <v>3068</v>
      </c>
      <c r="H27" s="5">
        <v>246323.9200000001</v>
      </c>
    </row>
    <row r="28" spans="1:15" x14ac:dyDescent="0.25">
      <c r="C28">
        <f t="shared" ref="C28:D28" si="2">G17</f>
        <v>3</v>
      </c>
      <c r="D28">
        <f t="shared" si="2"/>
        <v>261276.18000000002</v>
      </c>
      <c r="G28" t="s">
        <v>3065</v>
      </c>
      <c r="H28" s="5">
        <v>232361.17999999996</v>
      </c>
    </row>
    <row r="29" spans="1:15" x14ac:dyDescent="0.25">
      <c r="C29">
        <f t="shared" ref="C29:D29" si="3">G18</f>
        <v>2</v>
      </c>
      <c r="D29">
        <f t="shared" si="3"/>
        <v>165729.68000000002</v>
      </c>
    </row>
    <row r="30" spans="1:15" x14ac:dyDescent="0.25">
      <c r="C30">
        <f t="shared" ref="C30:D30" si="4">G19</f>
        <v>1</v>
      </c>
      <c r="D30">
        <f t="shared" si="4"/>
        <v>89728.289999999964</v>
      </c>
    </row>
    <row r="32" spans="1:15" x14ac:dyDescent="0.25">
      <c r="G32" s="9" t="s">
        <v>8</v>
      </c>
      <c r="H32" t="s">
        <v>4300</v>
      </c>
      <c r="J32" s="9" t="s">
        <v>8</v>
      </c>
      <c r="K32" t="s">
        <v>4332</v>
      </c>
    </row>
    <row r="33" spans="7:11" x14ac:dyDescent="0.25">
      <c r="G33" t="s">
        <v>3071</v>
      </c>
      <c r="H33" s="5">
        <v>276396.20999999996</v>
      </c>
      <c r="J33" t="s">
        <v>3071</v>
      </c>
      <c r="K33" s="10">
        <v>250</v>
      </c>
    </row>
    <row r="34" spans="7:11" x14ac:dyDescent="0.25">
      <c r="G34" t="s">
        <v>3074</v>
      </c>
      <c r="H34" s="5">
        <v>256328.15000000002</v>
      </c>
      <c r="J34" t="s">
        <v>3073</v>
      </c>
      <c r="K34" s="10">
        <v>231</v>
      </c>
    </row>
    <row r="35" spans="7:11" x14ac:dyDescent="0.25">
      <c r="G35" t="s">
        <v>3070</v>
      </c>
      <c r="H35" s="5">
        <v>246159.57999999987</v>
      </c>
      <c r="J35" t="s">
        <v>3074</v>
      </c>
      <c r="K35" s="10">
        <v>237</v>
      </c>
    </row>
    <row r="36" spans="7:11" x14ac:dyDescent="0.25">
      <c r="G36" t="s">
        <v>3072</v>
      </c>
      <c r="H36" s="5">
        <v>243277.70000000013</v>
      </c>
      <c r="J36" t="s">
        <v>3072</v>
      </c>
      <c r="K36" s="10">
        <v>247</v>
      </c>
    </row>
    <row r="37" spans="7:11" x14ac:dyDescent="0.25">
      <c r="G37" t="s">
        <v>3073</v>
      </c>
      <c r="H37" s="5">
        <v>242600.31999999998</v>
      </c>
      <c r="J37" t="s">
        <v>3070</v>
      </c>
      <c r="K37" s="10">
        <v>235</v>
      </c>
    </row>
    <row r="41" spans="7:11" x14ac:dyDescent="0.25">
      <c r="G41" s="9" t="s">
        <v>10</v>
      </c>
      <c r="H41" t="s">
        <v>4300</v>
      </c>
    </row>
    <row r="42" spans="7:11" x14ac:dyDescent="0.25">
      <c r="G42">
        <v>6</v>
      </c>
      <c r="H42" s="5">
        <v>212718.74999999994</v>
      </c>
    </row>
    <row r="43" spans="7:11" x14ac:dyDescent="0.25">
      <c r="G43">
        <v>5</v>
      </c>
      <c r="H43" s="5">
        <v>201617.18999999994</v>
      </c>
    </row>
    <row r="44" spans="7:11" x14ac:dyDescent="0.25">
      <c r="G44">
        <v>8</v>
      </c>
      <c r="H44" s="5">
        <v>191982.26000000007</v>
      </c>
    </row>
    <row r="45" spans="7:11" x14ac:dyDescent="0.25">
      <c r="G45">
        <v>7</v>
      </c>
      <c r="H45" s="5">
        <v>174815.16000000003</v>
      </c>
    </row>
    <row r="46" spans="7:11" x14ac:dyDescent="0.25">
      <c r="G46">
        <v>4</v>
      </c>
      <c r="H46" s="5">
        <v>135475.08000000002</v>
      </c>
    </row>
    <row r="47" spans="7:11" x14ac:dyDescent="0.25">
      <c r="G47">
        <v>9</v>
      </c>
      <c r="H47" s="5">
        <v>117667.19000000002</v>
      </c>
    </row>
    <row r="48" spans="7:11" x14ac:dyDescent="0.25">
      <c r="G48">
        <v>3</v>
      </c>
      <c r="H48" s="5">
        <v>88858.030000000028</v>
      </c>
    </row>
    <row r="49" spans="7:8" x14ac:dyDescent="0.25">
      <c r="G49">
        <v>10</v>
      </c>
      <c r="H49" s="5">
        <v>80188.05</v>
      </c>
    </row>
    <row r="50" spans="7:8" x14ac:dyDescent="0.25">
      <c r="G50">
        <v>2</v>
      </c>
      <c r="H50" s="5">
        <v>43006.239999999991</v>
      </c>
    </row>
    <row r="51" spans="7:8" x14ac:dyDescent="0.25">
      <c r="G51">
        <v>1</v>
      </c>
      <c r="H51" s="5">
        <v>18434.010000000002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7ED3-3DF8-4670-BC0F-03C25DE8079D}">
  <dimension ref="A1"/>
  <sheetViews>
    <sheetView showGridLines="0" topLeftCell="A19" zoomScale="70" zoomScaleNormal="70" workbookViewId="0">
      <selection activeCell="M48" sqref="M4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7"/>
  <sheetViews>
    <sheetView topLeftCell="A1184" workbookViewId="0">
      <selection activeCell="B1201" sqref="B120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style="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style="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  <row r="1202" spans="1:14" x14ac:dyDescent="0.25">
      <c r="B1202" s="2"/>
    </row>
    <row r="1203" spans="1:14" x14ac:dyDescent="0.25">
      <c r="D1203" t="s">
        <v>4284</v>
      </c>
      <c r="E1203" s="6">
        <f>AVERAGE($E$2:$E$1201)</f>
        <v>2.9458333333333333</v>
      </c>
      <c r="F1203" s="5">
        <f>AVERAGE($F$2:$F$1201)</f>
        <v>356.41275000000007</v>
      </c>
      <c r="K1203" s="6">
        <f>AVERAGE($K$2:$K$1201)</f>
        <v>5.4850000000000003</v>
      </c>
      <c r="N1203" s="5">
        <f>AVERAGE($N$2:$N$1201)</f>
        <v>1053.9683000000005</v>
      </c>
    </row>
    <row r="1204" spans="1:14" x14ac:dyDescent="0.25">
      <c r="D1204" t="s">
        <v>4285</v>
      </c>
      <c r="E1204">
        <f>MEDIAN($E$2:$E$1203)</f>
        <v>3</v>
      </c>
      <c r="F1204" s="5">
        <f>MEDIAN($F$2:$F$1201)</f>
        <v>364.21</v>
      </c>
      <c r="K1204">
        <f>MEDIAN($K$2:$K$1203)</f>
        <v>5</v>
      </c>
      <c r="N1204" s="5">
        <f>MEDIAN($N$2:$N$1201)</f>
        <v>823.61500000000001</v>
      </c>
    </row>
    <row r="1205" spans="1:14" x14ac:dyDescent="0.25">
      <c r="D1205" t="s">
        <v>4286</v>
      </c>
      <c r="E1205">
        <f>COUNT($E$2:$E$1201)</f>
        <v>1200</v>
      </c>
      <c r="F1205" s="5">
        <f>COUNT($F$2:$F$1201)</f>
        <v>1200</v>
      </c>
      <c r="K1205">
        <f>COUNT($K$2:$K$1201)</f>
        <v>1200</v>
      </c>
      <c r="N1205" s="5">
        <f>COUNT($N$2:$N$1201)</f>
        <v>1200</v>
      </c>
    </row>
    <row r="1206" spans="1:14" x14ac:dyDescent="0.25">
      <c r="D1206" t="s">
        <v>4287</v>
      </c>
      <c r="E1206">
        <f>MIN($E$2:$E$1201)</f>
        <v>1</v>
      </c>
      <c r="F1206" s="5">
        <f>MIN($F$2:$F$1201)</f>
        <v>11.39</v>
      </c>
      <c r="K1206">
        <f>MIN($K$2:$K$1201)</f>
        <v>1</v>
      </c>
      <c r="N1206" s="5">
        <f>MIN($N$2:$N$1201)</f>
        <v>11.39</v>
      </c>
    </row>
    <row r="1207" spans="1:14" x14ac:dyDescent="0.25">
      <c r="D1207" t="s">
        <v>4288</v>
      </c>
      <c r="E1207">
        <f>MAX($E$2:$E$1201)</f>
        <v>5</v>
      </c>
      <c r="F1207" s="5">
        <f>MAX($F$2:$F$1201)</f>
        <v>699.93</v>
      </c>
      <c r="K1207">
        <f>MAX($K$2:$K$1201)</f>
        <v>10</v>
      </c>
      <c r="N1207" s="5">
        <f>MAX($N$2:$N$1201)</f>
        <v>3456.4</v>
      </c>
    </row>
  </sheetData>
  <conditionalFormatting sqref="B5">
    <cfRule type="duplicateValues" dxfId="22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D608-E441-479F-AB38-E9A2D3389BD4}">
  <dimension ref="A1:L13"/>
  <sheetViews>
    <sheetView tabSelected="1" workbookViewId="0">
      <selection activeCell="E11" sqref="E11"/>
    </sheetView>
  </sheetViews>
  <sheetFormatPr defaultRowHeight="15" x14ac:dyDescent="0.25"/>
  <cols>
    <col min="1" max="1" width="11.28515625" bestFit="1" customWidth="1"/>
    <col min="9" max="9" width="9" bestFit="1" customWidth="1"/>
    <col min="10" max="10" width="11.28515625" bestFit="1" customWidth="1"/>
    <col min="11" max="11" width="11" bestFit="1" customWidth="1"/>
  </cols>
  <sheetData>
    <row r="1" spans="1:12" ht="15.75" x14ac:dyDescent="0.25">
      <c r="A1" s="7" t="s">
        <v>4291</v>
      </c>
      <c r="B1" s="7" t="s">
        <v>4286</v>
      </c>
      <c r="C1" s="7" t="s">
        <v>4284</v>
      </c>
      <c r="D1" s="7" t="s">
        <v>4285</v>
      </c>
      <c r="E1" s="7" t="s">
        <v>4289</v>
      </c>
      <c r="F1" s="7" t="s">
        <v>4290</v>
      </c>
      <c r="G1" s="7" t="s">
        <v>4292</v>
      </c>
      <c r="H1" s="7" t="s">
        <v>4293</v>
      </c>
      <c r="I1" s="8" t="s">
        <v>4295</v>
      </c>
      <c r="J1" s="7" t="s">
        <v>4296</v>
      </c>
      <c r="K1" t="s">
        <v>4297</v>
      </c>
      <c r="L1" s="7" t="s">
        <v>4298</v>
      </c>
    </row>
    <row r="2" spans="1:12" x14ac:dyDescent="0.25">
      <c r="A2" t="s">
        <v>4</v>
      </c>
      <c r="B2">
        <f>Sheet1!E1205</f>
        <v>1200</v>
      </c>
      <c r="C2" s="6">
        <f>Sheet1!E1203</f>
        <v>2.9458333333333333</v>
      </c>
      <c r="D2">
        <f>Sheet1!E1204</f>
        <v>3</v>
      </c>
      <c r="E2">
        <f>Sheet1!E1206</f>
        <v>1</v>
      </c>
      <c r="F2">
        <f>Sheet1!E1207</f>
        <v>5</v>
      </c>
    </row>
    <row r="3" spans="1:12" x14ac:dyDescent="0.25">
      <c r="A3" t="s">
        <v>5</v>
      </c>
      <c r="B3">
        <f>Sheet1!F1205</f>
        <v>1200</v>
      </c>
      <c r="C3">
        <f>Sheet1!F1203</f>
        <v>356.41275000000007</v>
      </c>
      <c r="D3">
        <f>Sheet1!F1204</f>
        <v>364.21</v>
      </c>
      <c r="E3">
        <f>Sheet1!F1206</f>
        <v>11.39</v>
      </c>
      <c r="F3">
        <f>Sheet1!F1207</f>
        <v>699.93</v>
      </c>
    </row>
    <row r="4" spans="1:12" x14ac:dyDescent="0.25">
      <c r="A4" t="s">
        <v>10</v>
      </c>
      <c r="B4">
        <f>Sheet1!K1205</f>
        <v>1200</v>
      </c>
      <c r="C4" s="6">
        <f>Sheet1!K1203</f>
        <v>5.4850000000000003</v>
      </c>
      <c r="D4">
        <f>Sheet1!K1204</f>
        <v>5</v>
      </c>
      <c r="E4">
        <f>Sheet1!K1206</f>
        <v>1</v>
      </c>
      <c r="F4">
        <f>Sheet1!K1207</f>
        <v>10</v>
      </c>
    </row>
    <row r="5" spans="1:12" x14ac:dyDescent="0.25">
      <c r="A5" t="s">
        <v>13</v>
      </c>
      <c r="B5">
        <f>Sheet1!N1205</f>
        <v>1200</v>
      </c>
      <c r="C5">
        <f>Sheet1!N1203</f>
        <v>1053.9683000000005</v>
      </c>
      <c r="D5">
        <f>Sheet1!N1204</f>
        <v>823.61500000000001</v>
      </c>
      <c r="E5">
        <f>Sheet1!N1206</f>
        <v>11.39</v>
      </c>
      <c r="F5">
        <f>Sheet1!N1207</f>
        <v>3456.4</v>
      </c>
      <c r="G5">
        <f>_xlfn.QUARTILE.INC(Sheet1!N2:N1201,1)</f>
        <v>410.52</v>
      </c>
      <c r="H5">
        <f>_xlfn.QUARTILE.INC(Sheet1!N2:N1201,3)</f>
        <v>1578.4749999999999</v>
      </c>
      <c r="I5" s="3">
        <f>H5-G5</f>
        <v>1167.9549999999999</v>
      </c>
      <c r="J5" s="3">
        <f>H5+1.5*I5</f>
        <v>3330.4074999999998</v>
      </c>
      <c r="K5">
        <f>G5-1.5*I5</f>
        <v>-1341.4124999999999</v>
      </c>
      <c r="L5">
        <f>COUNTIF(Sheet1!N2:N1201,"&gt;3330.41")</f>
        <v>8</v>
      </c>
    </row>
    <row r="13" spans="1:12" x14ac:dyDescent="0.25">
      <c r="F13" t="s">
        <v>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Dashboard</vt:lpstr>
      <vt:lpstr>Sheet1</vt:lpstr>
      <vt:lpstr>Count, mean and 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2026-10-03T21:37:56Z</dcterms:modified>
</cp:coreProperties>
</file>